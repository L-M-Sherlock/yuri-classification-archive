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e0ea2ede9f4f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0854c14ea8d3419f"/>
    <x:sheet xmlns:r="http://schemas.openxmlformats.org/officeDocument/2006/relationships" name="说明与来源" sheetId="2" r:id="R854dae80d2a346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b7112246c94c76" /><Relationship Type="http://schemas.openxmlformats.org/officeDocument/2006/relationships/theme" Target="/xl/theme/theme1.xml" Id="R008b7a5218f44646" /><Relationship Type="http://schemas.openxmlformats.org/officeDocument/2006/relationships/sharedStrings" Target="/xl/sharedStrings.xml" Id="Re7a9b34759134ab9" /><Relationship Type="http://schemas.openxmlformats.org/officeDocument/2006/relationships/worksheet" Target="/xl/worksheets/sheet1.xml" Id="R0854c14ea8d3419f" /><Relationship Type="http://schemas.openxmlformats.org/officeDocument/2006/relationships/worksheet" Target="/xl/worksheets/sheet2.xml" Id="R854dae80d2a3469e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b0416c6f3544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2026-08-14。分类字段来自正篇材料的分层判断；官方证据与四个数据库字段用于对照，不是对作品关系的投票或裁决。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0.1371527355068053</x:v>
      </x:c>
      <x:c r="R6" s="33" t="str">
        <x:v>有</x:v>
      </x:c>
      <x:c r="S6" s="42" t="str">
        <x:v>无</x:v>
      </x:c>
      <x:c r="T6" s="33" t="n">
        <x:v>80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0.02935893991033927</x:v>
      </x:c>
      <x:c r="R7" s="33" t="str">
        <x:v>无</x:v>
      </x:c>
      <x:c r="S7" s="42" t="str">
        <x:v>无</x:v>
      </x:c>
      <x:c r="T7" s="33" t="n">
        <x:v>67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0.06718554303095366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0.11971730778352227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0.0010602738741329117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51</x:v>
      </x:c>
      <x:c r="Q11" s="39" t="n">
        <x:v>0.055458277985750516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0.008723590296276715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0.07627301108838411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0.04435829905601752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0.011491760624457935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0.05307302964569776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0.028811240330474136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0.0027345497936657882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0.04777327935222672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0.05816176470588235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0.004573242974266622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0.053961829007130584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0.013140817650876055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0.008659719135345153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0.039341262580054895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0.09417965739290421</x:v>
      </x:c>
      <x:c r="R26" s="33" t="str">
        <x:v>无</x:v>
      </x:c>
      <x:c r="S26" s="42" t="str">
        <x:v>无</x:v>
      </x:c>
      <x:c r="T26" s="33" t="n">
        <x:v>32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124</x:v>
      </x:c>
      <x:c r="Q27" s="39" t="n">
        <x:v>0.0964886825304701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0.02279420426434209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147</x:v>
      </x:c>
      <x:c r="Q29" s="39" t="n">
        <x:v>0.033273460734371776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0.08979499205688782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0.019056328628982426</x:v>
      </x:c>
      <x:c r="R31" s="33" t="str">
        <x:v>无</x:v>
      </x:c>
      <x:c r="S31" s="42" t="str">
        <x:v>无</x:v>
      </x:c>
      <x:c r="T31" s="33" t="n">
        <x:v>62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0.008463673911571535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0.046848820724320145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191</x:v>
      </x:c>
      <x:c r="Q34" s="39" t="n">
        <x:v>0.14970913253743898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0.018887389889691294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0.01910027645136969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0.03209094833789034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0.03315126687907753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0.03523194362889019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0.10242118097892353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228</x:v>
      </x:c>
      <x:c r="Q41" s="39" t="n">
        <x:v>0.03563386825833661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0.04280410569993448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0.03159126365054602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252</x:v>
      </x:c>
      <x:c r="Q44" s="39" t="n">
        <x:v>0.052463211772232884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271</x:v>
      </x:c>
      <x:c r="Q45" s="39" t="n">
        <x:v>0.10545711011196332</x:v>
      </x:c>
      <x:c r="R45" s="33" t="str">
        <x:v>无</x:v>
      </x:c>
      <x:c r="S45" s="42" t="str">
        <x:v>无</x:v>
      </x:c>
      <x:c r="T45" s="33" t="n">
        <x:v>62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0.07580645161290323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0.046413199426111905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294</x:v>
      </x:c>
      <x:c r="Q48" s="39" t="n">
        <x:v>0.13177373663529196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302</x:v>
      </x:c>
      <x:c r="Q49" s="39" t="n">
        <x:v>0.0045232363026191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303</x:v>
      </x:c>
      <x:c r="Q50" s="39" t="n">
        <x:v>0.15985401459854015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311</x:v>
      </x:c>
      <x:c r="Q51" s="39" t="n">
        <x:v>0.034552845528455285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329</x:v>
      </x:c>
      <x:c r="Q52" s="39" t="n">
        <x:v>0.029278599456685782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0.002594482400761048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364</x:v>
      </x:c>
      <x:c r="Q54" s="39" t="n">
        <x:v>0.02753303964757709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380</x:v>
      </x:c>
      <x:c r="Q55" s="39" t="n">
        <x:v>0.16847239286645072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389</x:v>
      </x:c>
      <x:c r="Q56" s="39" t="n">
        <x:v>0.013390601313794846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395</x:v>
      </x:c>
      <x:c r="Q57" s="39" t="n">
        <x:v>0.04921348314606742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0.1297493299700457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0.00311447276425348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0.08369593038136677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0.009144451332920025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0.08041853512705531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圣母在上 第4季</x:v>
      </x:c>
      <x:c r="B63" s="30" t="str">
        <x:v>主线</x:v>
      </x:c>
      <x:c r="C63" s="30" t="str">
        <x:v>文类内百合</x:v>
      </x:c>
      <x:c r="D63" s="30" t="str">
        <x:v>主线</x:v>
      </x:c>
      <x:c r="E63" s="30" t="str">
        <x:v>明确女女恋爱欲望</x:v>
      </x:c>
      <x:c r="F63" s="30" t="str">
        <x:v>多组异质关系</x:v>
      </x:c>
      <x:c r="G63" s="30" t="str">
        <x:v>只有明确关系／欲望事实，无身份自述</x:v>
      </x:c>
      <x:c r="H63" s="30" t="str">
        <x:v>所核未见</x:v>
      </x:c>
      <x:c r="I63" s="30" t="str">
        <x:v>是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副线</x:v>
      </x:c>
      <x:c r="N63" s="27" t="str">
        <x:v>姊妹制度中的名分与权力压力、领养与失亲创伤、害怕被抛弃、家出、选举竞争、误解与拒绝、男性婚约背景。</x:v>
      </x:c>
      <x:c r="O63" s="30" t="str">
        <x:v>有可对应条目</x:v>
      </x:c>
      <x:c r="P63" s="36" t="n">
        <x:v>422</x:v>
      </x:c>
      <x:c r="Q63" s="39" t="n">
        <x:v>0.1487695749440716</x:v>
      </x:c>
      <x:c r="R63" s="33" t="str">
        <x:v>有</x:v>
      </x:c>
      <x:c r="S63" s="42" t="str">
        <x:v>有</x:v>
      </x:c>
      <x:c r="T63" s="33" t="n">
        <x:v>75</x:v>
      </x:c>
      <x:c r="U63" s="27" t="str">
        <x:v>有</x:v>
      </x:c>
    </x:row>
    <x:row r="64" ht="57" customHeight="1">
      <x:c r="A64" s="27" t="str">
        <x:v>Go! Princess 光之美少女</x:v>
      </x:c>
      <x:c r="B64" s="30" t="str">
        <x:v>主线</x:v>
      </x:c>
      <x:c r="C64" s="30" t="str">
        <x:v>文类内百合</x:v>
      </x:c>
      <x:c r="D64" s="30" t="str">
        <x:v>局部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—</x:v>
      </x:c>
      <x:c r="K64" s="30" t="str">
        <x:v>—</x:v>
      </x:c>
      <x:c r="L64" s="30" t="str">
        <x:v>正篇事实＋强推断＋读者解读</x:v>
      </x:c>
      <x:c r="M64" s="30" t="str">
        <x:v>副线</x:v>
      </x:c>
      <x:c r="N64" s="27" t="str">
        <x:v>幻想战斗与未成年人遇险、反派操控情绪、家庭分离、短暂失忆、职业与家庭期待冲突、单向婚约笑料</x:v>
      </x:c>
      <x:c r="O64" s="30" t="str">
        <x:v>有可对应条目</x:v>
      </x:c>
      <x:c r="P64" s="36" t="n">
        <x:v>423</x:v>
      </x:c>
      <x:c r="Q64" s="39" t="n">
        <x:v>0.028762198253723677</x:v>
      </x:c>
      <x:c r="R64" s="33" t="str">
        <x:v>无</x:v>
      </x:c>
      <x:c r="S64" s="42" t="str">
        <x:v>无</x:v>
      </x:c>
      <x:c r="T64" s="33" t="n">
        <x:v>0</x:v>
      </x:c>
      <x:c r="U64" s="27" t="str">
        <x:v>无</x:v>
      </x:c>
    </x:row>
    <x:row r="65" ht="57" customHeight="1">
      <x:c r="A65" s="27" t="str">
        <x:v>《ray 超かぐや姫！Version》MV</x:v>
      </x:c>
      <x:c r="B65" s="30" t="str">
        <x:v>主线</x:v>
      </x:c>
      <x:c r="C65" s="30" t="str">
        <x:v>文类内百合</x:v>
      </x:c>
      <x:c r="D65" s="30" t="str">
        <x:v>主线</x:v>
      </x:c>
      <x:c r="E65" s="30" t="str">
        <x:v>潜在恋爱</x:v>
      </x:c>
      <x:c r="F65" s="30" t="str">
        <x:v>多组异质关系</x:v>
      </x:c>
      <x:c r="G65" s="30" t="str">
        <x:v>只有关系性质推断，无身份自述</x:v>
      </x:c>
      <x:c r="H65" s="30" t="str">
        <x:v>所核未见</x:v>
      </x:c>
      <x:c r="I65" s="30" t="str">
        <x:v>所核未见</x:v>
      </x:c>
      <x:c r="J65" s="30" t="str">
        <x:v>范围内版本</x:v>
      </x:c>
      <x:c r="K65" s="30" t="str">
        <x:v>可见宣传</x:v>
      </x:c>
      <x:c r="L65" s="30" t="str">
        <x:v>正篇事实＋强推断＋读者解读</x:v>
      </x:c>
      <x:c r="M65" s="30" t="str">
        <x:v>无</x:v>
      </x:c>
      <x:c r="N65" s="27" t="str">
        <x:v>分离、悲伤、身体亲密、快速剪辑与舞台演出。</x:v>
      </x:c>
      <x:c r="O65" s="30" t="str">
        <x:v>有可对应条目</x:v>
      </x:c>
      <x:c r="P65" s="36" t="n">
        <x:v>452</x:v>
      </x:c>
      <x:c r="Q65" s="39" t="n">
        <x:v>0.12408163265306123</x:v>
      </x:c>
      <x:c r="R65" s="33" t="str">
        <x:v>有</x:v>
      </x:c>
      <x:c r="S65" s="42" t="str">
        <x:v>无可对应条目</x:v>
      </x:c>
      <x:c r="T65" s="33" t="n">
        <x:v>85</x:v>
      </x:c>
      <x:c r="U65" s="27" t="str">
        <x:v>无</x:v>
      </x:c>
    </x:row>
    <x:row r="66" ht="57" customHeight="1">
      <x:c r="A66" s="27" t="str">
        <x:v>草莓棉花糖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—</x:v>
      </x:c>
      <x:c r="K66" s="30" t="str">
        <x:v>—</x:v>
      </x:c>
      <x:c r="L66" s="30" t="str">
        <x:v>正篇事实＋强推断＋读者解读</x:v>
      </x:c>
      <x:c r="M66" s="30" t="str">
        <x:v>无</x:v>
      </x:c>
      <x:c r="N66" s="27" t="str">
        <x:v>成年人频繁吸烟与饮酒、夸张肢体冲突和捉弄、围绕小学生角色的洗浴／身体与穿衣笑料。</x:v>
      </x:c>
      <x:c r="O66" s="30" t="str">
        <x:v>有可对应条目</x:v>
      </x:c>
      <x:c r="P66" s="36" t="n">
        <x:v>453</x:v>
      </x:c>
      <x:c r="Q66" s="39" t="n">
        <x:v>0.04462895692786715</x:v>
      </x:c>
      <x:c r="R66" s="33" t="str">
        <x:v>有</x:v>
      </x:c>
      <x:c r="S66" s="42" t="str">
        <x:v>无</x:v>
      </x:c>
      <x:c r="T66" s="33" t="n">
        <x:v>0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467</x:v>
      </x:c>
      <x:c r="Q67" s="39" t="n">
        <x:v>0.05744089012517385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478</x:v>
      </x:c>
      <x:c r="Q68" s="39" t="n">
        <x:v>0.16793103448275862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0.11905608917348512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0.052844160215415686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0.03975772635502407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508</x:v>
      </x:c>
      <x:c r="Q72" s="39" t="n">
        <x:v>0.055903614457831326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向山进发 第三季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潜在恋爱</x:v>
      </x:c>
      <x:c r="F73" s="30" t="str">
        <x:v>多组异质关系</x:v>
      </x:c>
      <x:c r="G73" s="30" t="str">
        <x:v>只有关系性质推断，无身份自述</x:v>
      </x:c>
      <x:c r="H73" s="30" t="str">
        <x:v>所核未见</x:v>
      </x:c>
      <x:c r="I73" s="30" t="str">
        <x:v>是</x:v>
      </x:c>
      <x:c r="J73" s="30" t="str">
        <x:v>范围内版本</x:v>
      </x:c>
      <x:c r="K73" s="30" t="str">
        <x:v>故事／角色页、可见宣传</x:v>
      </x:c>
      <x:c r="L73" s="30" t="str">
        <x:v>正篇事实＋强推断＋读者解读</x:v>
      </x:c>
      <x:c r="M73" s="30" t="str">
        <x:v>无</x:v>
      </x:c>
      <x:c r="N73" s="27" t="str">
        <x:v>登山与天气风险、恐高焦虑、朋友冲突、吃醋与分离不安。</x:v>
      </x:c>
      <x:c r="O73" s="30" t="str">
        <x:v>有可对应条目</x:v>
      </x:c>
      <x:c r="P73" s="36" t="n">
        <x:v>516</x:v>
      </x:c>
      <x:c r="Q73" s="39" t="n">
        <x:v>0.12063775225777679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兽娘动物园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—</x:v>
      </x:c>
      <x:c r="K74" s="30" t="str">
        <x:v>—</x:v>
      </x:c>
      <x:c r="L74" s="30" t="str">
        <x:v>正篇事实／读者解读</x:v>
      </x:c>
      <x:c r="M74" s="30" t="str">
        <x:v>无</x:v>
      </x:c>
      <x:c r="N74" s="27" t="str">
        <x:v>怪物袭击与生命危险、身份及物种不确定、短暂分离、温泉脱衣与身体差异喜剧。</x:v>
      </x:c>
      <x:c r="O74" s="30" t="str">
        <x:v>有可对应条目</x:v>
      </x:c>
      <x:c r="P74" s="36" t="n">
        <x:v>517</x:v>
      </x:c>
      <x:c r="Q74" s="39" t="n">
        <x:v>0.054537293334330814</x:v>
      </x:c>
      <x:c r="R74" s="33" t="str">
        <x:v>有</x:v>
      </x:c>
      <x:c r="S74" s="42" t="str">
        <x:v>无</x:v>
      </x:c>
      <x:c r="T74" s="33" t="n">
        <x:v>20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528</x:v>
      </x:c>
      <x:c r="Q75" s="39" t="n">
        <x:v>0.07886676875957122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532</x:v>
      </x:c>
      <x:c r="Q76" s="39" t="n">
        <x:v>0.15299793246037216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535</x:v>
      </x:c>
      <x:c r="Q77" s="39" t="n">
        <x:v>0.08954509177972865</x:v>
      </x:c>
      <x:c r="R77" s="33" t="str">
        <x:v>有</x:v>
      </x:c>
      <x:c r="S77" s="42" t="str">
        <x:v>无</x:v>
      </x:c>
      <x:c r="T77" s="33" t="n">
        <x:v>60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559</x:v>
      </x:c>
      <x:c r="Q78" s="39" t="n">
        <x:v>0.032916991933385376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579</x:v>
      </x:c>
      <x:c r="Q79" s="39" t="n">
        <x:v>0.02608047690014903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584</x:v>
      </x:c>
      <x:c r="Q80" s="39" t="n">
        <x:v>0.026520952248364194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606</x:v>
      </x:c>
      <x:c r="Q81" s="39" t="n">
        <x:v>0.13065626434144104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608</x:v>
      </x:c>
      <x:c r="Q82" s="39" t="n">
        <x:v>0.0538570191825762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617</x:v>
      </x:c>
      <x:c r="Q83" s="39" t="n">
        <x:v>0.08448928121059268</x:v>
      </x:c>
      <x:c r="R83" s="33" t="str">
        <x:v>有</x:v>
      </x:c>
      <x:c r="S83" s="42" t="str">
        <x:v>无</x:v>
      </x:c>
      <x:c r="T83" s="33" t="n">
        <x:v>46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633</x:v>
      </x:c>
      <x:c r="Q84" s="39" t="n">
        <x:v>0.045711060948081264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634</x:v>
      </x:c>
      <x:c r="Q85" s="39" t="n">
        <x:v>0.07520891364902507</x:v>
      </x:c>
      <x:c r="R85" s="33" t="str">
        <x:v>有</x:v>
      </x:c>
      <x:c r="S85" s="42" t="str">
        <x:v>无</x:v>
      </x:c>
      <x:c r="T85" s="33" t="n">
        <x:v>58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0.0424721734036321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0.08759446191185394</x:v>
      </x:c>
      <x:c r="R87" s="33" t="str">
        <x:v>有</x:v>
      </x:c>
      <x:c r="S87" s="42" t="str">
        <x:v>无</x:v>
      </x:c>
      <x:c r="T87" s="33" t="n">
        <x:v>30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645</x:v>
      </x:c>
      <x:c r="Q88" s="39" t="n">
        <x:v>0.1330197554092192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652</x:v>
      </x:c>
      <x:c r="Q89" s="39" t="n">
        <x:v>0.04659949622166247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662</x:v>
      </x:c>
      <x:c r="Q90" s="39" t="n">
        <x:v>0.054441865372441445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665</x:v>
      </x:c>
      <x:c r="Q91" s="39" t="n">
        <x:v>0.025873746952045515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671</x:v>
      </x:c>
      <x:c r="Q92" s="39" t="n">
        <x:v>0.03298887122416534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675</x:v>
      </x:c>
      <x:c r="Q93" s="39" t="n">
        <x:v>0.08540630182421227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0.024096385542168676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697</x:v>
      </x:c>
      <x:c r="Q95" s="39" t="n">
        <x:v>0.1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698</x:v>
      </x:c>
      <x:c r="Q96" s="39" t="n">
        <x:v>0.07818352059925093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709</x:v>
      </x:c>
      <x:c r="Q97" s="39" t="n">
        <x:v>0.12142192828355895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722</x:v>
      </x:c>
      <x:c r="Q98" s="39" t="n">
        <x:v>0.08141086286781651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0.07969924812030076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0.034184441875941295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有可对应条目</x:v>
      </x:c>
      <x:c r="P101" s="36" t="n">
        <x:v>756</x:v>
      </x:c>
      <x:c r="Q101" s="39" t="n">
        <x:v>0.10825965063618719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有可对应条目</x:v>
      </x:c>
      <x:c r="P102" s="36" t="n">
        <x:v>759</x:v>
      </x:c>
      <x:c r="Q102" s="39" t="n">
        <x:v>0.01281711305577654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764</x:v>
      </x:c>
      <x:c r="Q103" s="39" t="n">
        <x:v>0.02308592646405941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0.05105499070733574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0.11745406824146981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797</x:v>
      </x:c>
      <x:c r="Q107" s="39" t="n">
        <x:v>0.09037552589206876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802</x:v>
      </x:c>
      <x:c r="Q108" s="39" t="n">
        <x:v>0.12077294685990338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0.07313642756680731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0.03272888102609465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816</x:v>
      </x:c>
      <x:c r="Q111" s="39" t="n">
        <x:v>0.06018767179551989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822</x:v>
      </x:c>
      <x:c r="Q112" s="39" t="n">
        <x:v>0.07493655769517839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有可对应条目</x:v>
      </x:c>
      <x:c r="P113" s="36" t="n">
        <x:v>825</x:v>
      </x:c>
      <x:c r="Q113" s="39" t="n">
        <x:v>0.13677811550151975</x:v>
      </x:c>
      <x:c r="R113" s="33" t="str">
        <x:v>有</x:v>
      </x:c>
      <x:c r="S113" s="42" t="str">
        <x:v>有</x:v>
      </x:c>
      <x:c r="T113" s="33" t="n">
        <x:v>82</x:v>
      </x:c>
      <x:c r="U113" s="27" t="str">
        <x:v>有</x:v>
      </x:c>
    </x:row>
    <x:row r="114" ht="57" customHeight="1">
      <x:c r="A114" s="27" t="str">
        <x:v>小魔女学园 魔法游行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HTML 元数据、故事／角色页、可见宣传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魔女受迫害历史再现、校园惩罚与公开嘲弄、同伴争吵与绝交措辞、巨人出现与魔法危机。</x:v>
      </x:c>
      <x:c r="O114" s="30" t="str">
        <x:v>有可对应条目</x:v>
      </x:c>
      <x:c r="P114" s="36" t="n">
        <x:v>841</x:v>
      </x:c>
      <x:c r="Q114" s="39" t="n">
        <x:v>0.021889821233126595</x:v>
      </x:c>
      <x:c r="R114" s="33" t="str">
        <x:v>有</x:v>
      </x:c>
      <x:c r="S114" s="42" t="str">
        <x:v>无</x:v>
      </x:c>
      <x:c r="T114" s="33" t="n">
        <x:v>0</x:v>
      </x:c>
      <x:c r="U114" s="27" t="str">
        <x:v>无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842</x:v>
      </x:c>
      <x:c r="Q115" s="39" t="n">
        <x:v>0.060660218671152226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849</x:v>
      </x:c>
      <x:c r="Q116" s="39" t="n">
        <x:v>0.04764987699080668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865</x:v>
      </x:c>
      <x:c r="Q117" s="39" t="n">
        <x:v>0.06421133821827998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870</x:v>
      </x:c>
      <x:c r="Q118" s="39" t="n">
        <x:v>0.1304923239809423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871</x:v>
      </x:c>
      <x:c r="Q119" s="39" t="n">
        <x:v>0.10455124124761299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879</x:v>
      </x:c>
      <x:c r="Q120" s="39" t="n">
        <x:v>0.11711832573115107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赛马娘 Pretty Derby 新时代之门</x:v>
      </x:c>
      <x:c r="B121" s="30" t="str">
        <x:v>主线</x:v>
      </x:c>
      <x:c r="C121" s="30" t="str">
        <x:v>文类内百合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赛场受伤、退赛、过度训练、竞技失败、自我否定、不可见朋友及高强度比赛。</x:v>
      </x:c>
      <x:c r="O121" s="30" t="str">
        <x:v>有可对应条目</x:v>
      </x:c>
      <x:c r="P121" s="36" t="n">
        <x:v>883</x:v>
      </x:c>
      <x:c r="Q121" s="39" t="n">
        <x:v>0.018217683917382224</x:v>
      </x:c>
      <x:c r="R121" s="33" t="str">
        <x:v>无</x:v>
      </x:c>
      <x:c r="S121" s="42" t="str">
        <x:v>无</x:v>
      </x:c>
      <x:c r="T121" s="33" t="n">
        <x:v>0</x:v>
      </x:c>
      <x:c r="U121" s="27" t="str">
        <x:v>无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文类内百合</x:v>
      </x:c>
      <x:c r="D122" s="30" t="str">
        <x:v>主线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有可对应条目</x:v>
      </x:c>
      <x:c r="P122" s="36" t="n">
        <x:v>884</x:v>
      </x:c>
      <x:c r="Q122" s="39" t="n">
        <x:v>0.10954765879640671</x:v>
      </x:c>
      <x:c r="R122" s="33" t="str">
        <x:v>有</x:v>
      </x:c>
      <x:c r="S122" s="42" t="str">
        <x:v>无</x:v>
      </x:c>
      <x:c r="T122" s="33" t="n">
        <x:v>73</x:v>
      </x:c>
      <x:c r="U122" s="27" t="str">
        <x:v>无</x:v>
      </x:c>
    </x:row>
    <x:row r="123" ht="57" customHeight="1">
      <x:c r="A123" s="27" t="str">
        <x:v>大室家 亲爱的朋友们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明确女女交往关系</x:v>
      </x:c>
      <x:c r="F123" s="30" t="str">
        <x:v>多组异质关系</x:v>
      </x:c>
      <x:c r="G123" s="30" t="str">
        <x:v>只有明确关系／欲望事实，无身份自述</x:v>
      </x:c>
      <x:c r="H123" s="30" t="str">
        <x:v>是</x:v>
      </x:c>
      <x:c r="I123" s="30" t="str">
        <x:v>是</x:v>
      </x:c>
      <x:c r="J123" s="30" t="str">
        <x:v>范围内版本、原作</x:v>
      </x:c>
      <x:c r="K123" s="30" t="str">
        <x:v>访谈／评论、出版渠道、可见宣传</x:v>
      </x:c>
      <x:c r="L123" s="30" t="str">
        <x:v>正篇事实＋强推断＋读者解读</x:v>
      </x:c>
      <x:c r="M123" s="30" t="str">
        <x:v>无</x:v>
      </x:c>
      <x:c r="N123" s="27" t="str">
        <x:v>姐妹争吵、恋人身份谜题、朋友间情绪波动、校园喜剧。</x:v>
      </x:c>
      <x:c r="O123" s="30" t="str">
        <x:v>有可对应条目</x:v>
      </x:c>
      <x:c r="P123" s="36" t="n">
        <x:v>909</x:v>
      </x:c>
      <x:c r="Q123" s="39" t="n">
        <x:v>0.14353932584269663</x:v>
      </x:c>
      <x:c r="R123" s="33" t="str">
        <x:v>有</x:v>
      </x:c>
      <x:c r="S123" s="42" t="str">
        <x:v>有</x:v>
      </x:c>
      <x:c r="T123" s="33" t="n">
        <x:v>92</x:v>
      </x:c>
      <x:c r="U123" s="27" t="str">
        <x:v>有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正篇事实／强推断／读者解读</x:v>
      </x:c>
      <x:c r="M124" s="30" t="str">
        <x:v>无</x:v>
      </x:c>
      <x:c r="N124" s="27" t="str">
        <x:v>社团分组与公开投票、前后辈压力、练习挫败、竞赛压力和第一顺位玩笑。</x:v>
      </x:c>
      <x:c r="O124" s="30" t="str">
        <x:v>有可对应条目</x:v>
      </x:c>
      <x:c r="P124" s="36" t="n">
        <x:v>911</x:v>
      </x:c>
      <x:c r="Q124" s="39" t="n">
        <x:v>0.02406159769008662</x:v>
      </x:c>
      <x:c r="R124" s="33" t="str">
        <x:v>无</x:v>
      </x:c>
      <x:c r="S124" s="42" t="str">
        <x:v>无</x:v>
      </x:c>
      <x:c r="T124" s="33" t="n">
        <x:v>0</x:v>
      </x:c>
      <x:c r="U124" s="27" t="str">
        <x:v>无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0.01693958215697346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923</x:v>
      </x:c>
      <x:c r="Q126" s="39" t="n">
        <x:v>0.009039444850255662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929</x:v>
      </x:c>
      <x:c r="Q127" s="39" t="n">
        <x:v>0.0017652556159357586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932</x:v>
      </x:c>
      <x:c r="Q128" s="39" t="n">
        <x:v>0.11528537516771596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0.04436363636363636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0.11085117167699926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952</x:v>
      </x:c>
      <x:c r="Q131" s="39" t="n">
        <x:v>0.013468646244440267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960</x:v>
      </x:c>
      <x:c r="Q132" s="39" t="n">
        <x:v>0.025101853068734394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967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65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978</x:v>
      </x:c>
      <x:c r="Q134" s="39" t="n">
        <x:v>0.05316223648029331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989</x:v>
      </x:c>
      <x:c r="Q135" s="39" t="n">
        <x:v>0.05775216901781575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991</x:v>
      </x:c>
      <x:c r="Q136" s="39" t="n">
        <x:v>0.11342761335471643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猫头鹰魔法社</x:v>
      </x:c>
      <x:c r="B137" s="30" t="str">
        <x:v>主线</x:v>
      </x:c>
      <x:c r="C137" s="30" t="str">
        <x:v>文类内百合</x:v>
      </x:c>
      <x:c r="D137" s="30" t="str">
        <x:v>重要副线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—</x:v>
      </x:c>
      <x:c r="K137" s="30" t="str">
        <x:v>—</x:v>
      </x:c>
      <x:c r="L137" s="30" t="str">
        <x:v>正篇事实／强推断</x:v>
      </x:c>
      <x:c r="M137" s="30" t="str">
        <x:v>无</x:v>
      </x:c>
      <x:c r="N137" s="27" t="str">
        <x:v>奇幻暴力、未成年人遇险、校园欺凌、受制状态下的强迫约会要求、诅咒变形、控制型家长、家庭分离、监禁及石化威胁。</x:v>
      </x:c>
      <x:c r="O137" s="30" t="str">
        <x:v>有可对应条目</x:v>
      </x:c>
      <x:c r="P137" s="36" t="n">
        <x:v>996</x:v>
      </x:c>
      <x:c r="Q137" s="39" t="n">
        <x:v>0.1127348643006263</x:v>
      </x:c>
      <x:c r="R137" s="33" t="str">
        <x:v>无</x:v>
      </x:c>
      <x:c r="S137" s="42" t="str">
        <x:v>无可对应条目</x:v>
      </x:c>
      <x:c r="T137" s="33" t="str">
        <x:v>无可对应条目</x:v>
      </x:c>
      <x:c r="U137" s="27" t="str">
        <x:v>无可对应条目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文类内百合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正篇事实／强推断／读者解读</x:v>
      </x:c>
      <x:c r="M138" s="30" t="str">
        <x:v>副线</x:v>
      </x:c>
      <x:c r="N138" s="27" t="str">
        <x:v>泳装与公共泳池、不会游泳的安全话题、校园情书。</x:v>
      </x:c>
      <x:c r="O138" s="30" t="str">
        <x:v>有可对应条目</x:v>
      </x:c>
      <x:c r="P138" s="36" t="n">
        <x:v>997</x:v>
      </x:c>
      <x:c r="Q138" s="39" t="n">
        <x:v>0.07868252516010979</x:v>
      </x:c>
      <x:c r="R138" s="33" t="str">
        <x:v>有</x:v>
      </x:c>
      <x:c r="S138" s="42" t="str">
        <x:v>无</x:v>
      </x:c>
      <x:c r="T138" s="33" t="n">
        <x:v>20</x:v>
      </x:c>
      <x:c r="U138" s="27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有可对应条目</x:v>
      </x:c>
      <x:c r="P139" s="36" t="n">
        <x:v>1001</x:v>
      </x:c>
      <x:c r="Q139" s="39" t="n">
        <x:v>0.1302048417132216</x:v>
      </x:c>
      <x:c r="R139" s="33" t="str">
        <x:v>有</x:v>
      </x:c>
      <x:c r="S139" s="42" t="str">
        <x:v>无</x:v>
      </x:c>
      <x:c r="T139" s="33" t="n">
        <x:v>73</x:v>
      </x:c>
      <x:c r="U139" s="27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正篇事实／强推断</x:v>
      </x:c>
      <x:c r="M140" s="30" t="str">
        <x:v>无</x:v>
      </x:c>
      <x:c r="N140" s="27" t="str">
        <x:v>口头拒绝后仍继续亲吻与身体压制、浴室和温泉中的裸露及性化情节、未成年角色间性话题、掌掴、焦虑与反复自我贬低</x:v>
      </x:c>
      <x:c r="O140" s="30" t="str">
        <x:v>有可对应条目</x:v>
      </x:c>
      <x:c r="P140" s="36" t="n">
        <x:v>1033</x:v>
      </x:c>
      <x:c r="Q140" s="39" t="n">
        <x:v>0.13814784873798616</x:v>
      </x:c>
      <x:c r="R140" s="33" t="str">
        <x:v>有</x:v>
      </x:c>
      <x:c r="S140" s="42" t="str">
        <x:v>有</x:v>
      </x:c>
      <x:c r="T140" s="33" t="n">
        <x:v>98</x:v>
      </x:c>
      <x:c r="U140" s="27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有可对应条目</x:v>
      </x:c>
      <x:c r="P141" s="36" t="n">
        <x:v>1037</x:v>
      </x:c>
      <x:c r="Q141" s="39" t="n">
        <x:v>0.1962855682399046</x:v>
      </x:c>
      <x:c r="R141" s="33" t="str">
        <x:v>有</x:v>
      </x:c>
      <x:c r="S141" s="42" t="str">
        <x:v>有</x:v>
      </x:c>
      <x:c r="T141" s="33" t="n">
        <x:v>94</x:v>
      </x:c>
      <x:c r="U141" s="27" t="str">
        <x:v>有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1038</x:v>
      </x:c>
      <x:c r="Q142" s="39" t="n">
        <x:v>0.027303754266211604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1046</x:v>
      </x:c>
      <x:c r="Q143" s="39" t="n">
        <x:v>0.11928219563687543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0.09077489196012152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1087</x:v>
      </x:c>
      <x:c r="Q145" s="39" t="n">
        <x:v>0.09790438768827767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1094</x:v>
      </x:c>
      <x:c r="Q146" s="39" t="n">
        <x:v>0.0906527868141401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1101</x:v>
      </x:c>
      <x:c r="Q147" s="39" t="n">
        <x:v>0.10369301094670998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1117</x:v>
      </x:c>
      <x:c r="Q148" s="39" t="n">
        <x:v>0.12230259558689441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1124</x:v>
      </x:c>
      <x:c r="Q149" s="39" t="n">
        <x:v>0.04643714971977582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1151</x:v>
      </x:c>
      <x:c r="Q150" s="39" t="n">
        <x:v>0.0426179604261796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0.11581023864511163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0.06378954607977992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剧场版 黄金拼图 谢谢你!!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毕业与分离焦虑、恋爱话题和暧昧配对笑料、旅行中的更衣与身体话题笑料。</x:v>
      </x:c>
      <x:c r="O153" s="30" t="str">
        <x:v>有可对应条目</x:v>
      </x:c>
      <x:c r="P153" s="36" t="n">
        <x:v>1176</x:v>
      </x:c>
      <x:c r="Q153" s="39" t="n">
        <x:v>0.11782141533901445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剧场总集篇孤独摇滚！ Re:</x:v>
      </x:c>
      <x:c r="B154" s="30" t="str">
        <x:v>主线</x:v>
      </x:c>
      <x:c r="C154" s="30" t="str">
        <x:v>文类内百合</x:v>
      </x:c>
      <x:c r="D154" s="30" t="str">
        <x:v>局部</x:v>
      </x:c>
      <x:c r="E154" s="30" t="str">
        <x:v>明确女女恋爱欲望</x:v>
      </x:c>
      <x:c r="F154" s="30" t="str">
        <x:v>多组异质关系</x:v>
      </x:c>
      <x:c r="G154" s="30" t="str">
        <x:v>只有明确关系／欲望事实，无身份自述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可见宣传</x:v>
      </x:c>
      <x:c r="L154" s="30" t="str">
        <x:v>正篇事实／强推断／读者解读</x:v>
      </x:c>
      <x:c r="M154" s="30" t="str">
        <x:v>无</x:v>
      </x:c>
      <x:c r="N154" s="27" t="str">
        <x:v>严重社交焦虑、公开演出压力、夸张出丑笑料、成年角色饮酒及借钱笑料。</x:v>
      </x:c>
      <x:c r="O154" s="30" t="str">
        <x:v>有可对应条目</x:v>
      </x:c>
      <x:c r="P154" s="36" t="n">
        <x:v>1178</x:v>
      </x:c>
      <x:c r="Q154" s="39" t="n">
        <x:v>0.03700799749098322</x:v>
      </x:c>
      <x:c r="R154" s="33" t="str">
        <x:v>无</x:v>
      </x:c>
      <x:c r="S154" s="42" t="str">
        <x:v>无</x:v>
      </x:c>
      <x:c r="T154" s="33" t="n">
        <x:v>65</x:v>
      </x:c>
      <x:c r="U154" s="27" t="str">
        <x:v>无可对应条目</x:v>
      </x:c>
    </x:row>
    <x:row r="155" ht="57" customHeight="1">
      <x:c r="A155" s="27" t="str">
        <x:v>BanG Dream! FILM LIVE 2nd Stage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出版渠道、可见宣传</x:v>
      </x:c>
      <x:c r="L155" s="30" t="str">
        <x:v>正篇事实／强推断／读者解读</x:v>
      </x:c>
      <x:c r="M155" s="30" t="str">
        <x:v>无</x:v>
      </x:c>
      <x:c r="N155" s="27" t="str">
        <x:v>演唱会音量与闪光、舞台竞争、大量歌曲表演、关系推进有限</x:v>
      </x:c>
      <x:c r="O155" s="30" t="str">
        <x:v>有可对应条目</x:v>
      </x:c>
      <x:c r="P155" s="36" t="n">
        <x:v>1180</x:v>
      </x:c>
      <x:c r="Q155" s="39" t="n">
        <x:v>0.03581020590868397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1194</x:v>
      </x:c>
      <x:c r="Q156" s="39" t="n">
        <x:v>0.12652456400319162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1199</x:v>
      </x:c>
      <x:c r="Q157" s="39" t="n">
        <x:v>0.08197090991092569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0.2140995748182691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Princess Principal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单一主要关系记录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无</x:v>
      </x:c>
      <x:c r="N159" s="27" t="str">
        <x:v>枪击与死亡、暗杀和政变、自尽、儿童遭殴打及人体实验、家庭暴力、贫困与阶级歧视、战争与革命、身份互换和长期冒名。</x:v>
      </x:c>
      <x:c r="O159" s="30" t="str">
        <x:v>有可对应条目</x:v>
      </x:c>
      <x:c r="P159" s="36" t="n">
        <x:v>1223</x:v>
      </x:c>
      <x:c r="Q159" s="39" t="n">
        <x:v>0.10971047495120365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大剑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正篇事实／强推断／读者解读</x:v>
      </x:c>
      <x:c r="M160" s="30" t="str">
        <x:v>并列</x:v>
      </x:c>
      <x:c r="N160" s="27" t="str">
        <x:v>大量肢解与流血、食人和身体恐怖、儿童受虐与遇险、性暴力威胁、人体改造、酷刑、死亡、自我牺牲、自杀及请求他人结束生命</x:v>
      </x:c>
      <x:c r="O160" s="30" t="str">
        <x:v>有可对应条目</x:v>
      </x:c>
      <x:c r="P160" s="36" t="n">
        <x:v>1227</x:v>
      </x:c>
      <x:c r="Q160" s="39" t="n">
        <x:v>0.030627126883811376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1254</x:v>
      </x:c>
      <x:c r="Q161" s="39" t="n">
        <x:v>0.056558515338972354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1266</x:v>
      </x:c>
      <x:c r="Q162" s="39" t="n">
        <x:v>0.028304405874499332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0.11691645276144738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0.07177093844601412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0.13394548899577322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Front Innocent</x:v>
      </x:c>
      <x:c r="B166" s="30" t="str">
        <x:v>重要副线</x:v>
      </x:c>
      <x:c r="C166" s="30" t="str">
        <x:v>文类外百合阅读</x:v>
      </x:c>
      <x:c r="D166" s="30" t="str">
        <x:v>重要副线</x:v>
      </x:c>
      <x:c r="E166" s="30" t="str">
        <x:v>明确女女恋爱欲望</x:v>
      </x:c>
      <x:c r="F166" s="30" t="str">
        <x:v>多组异质关系</x:v>
      </x:c>
      <x:c r="G166" s="30" t="str">
        <x:v>只有明确关系／欲望事实，无身份自述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可见宣传</x:v>
      </x:c>
      <x:c r="L166" s="30" t="str">
        <x:v>正篇事实／强推断／读者解读</x:v>
      </x:c>
      <x:c r="M166" s="30" t="str">
        <x:v>并列</x:v>
      </x:c>
      <x:c r="N166" s="27" t="str">
        <x:v>成人性内容、三人结构、姐妹称呼与主仆权力差；字幕含拒绝、请求回家与被带走的台词，完整画面与语境未核实。</x:v>
      </x:c>
      <x:c r="O166" s="30" t="str">
        <x:v>有可对应条目</x:v>
      </x:c>
      <x:c r="P166" s="36" t="n">
        <x:v>1336</x:v>
      </x:c>
      <x:c r="Q166" s="39" t="n">
        <x:v>0.05040816326530612</x:v>
      </x:c>
      <x:c r="R166" s="33" t="str">
        <x:v>有</x:v>
      </x:c>
      <x:c r="S166" s="42" t="str">
        <x:v>无可对应条目</x:v>
      </x:c>
      <x:c r="T166" s="33" t="n">
        <x:v>64</x:v>
      </x:c>
      <x:c r="U166" s="27" t="str">
        <x:v>无</x:v>
      </x:c>
    </x:row>
    <x:row r="167" ht="57" customHeight="1">
      <x:c r="A167" s="27" t="str">
        <x:v>校园乌托邦 学美向前冲！</x:v>
      </x:c>
      <x:c r="B167" s="30" t="str">
        <x:v>主线</x:v>
      </x:c>
      <x:c r="C167" s="30" t="str">
        <x:v>文类内百合</x:v>
      </x:c>
      <x:c r="D167" s="30" t="str">
        <x:v>缺席</x:v>
      </x:c>
      <x:c r="E167" s="30" t="str">
        <x:v>非恋爱</x:v>
      </x:c>
      <x:c r="F167" s="30" t="str">
        <x:v>多组异质关系</x:v>
      </x:c>
      <x:c r="G167" s="30" t="str">
        <x:v>范围内没有性取向身份依据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故事／角色页</x:v>
      </x:c>
      <x:c r="L167" s="30" t="str">
        <x:v>正篇事实＋读者解读</x:v>
      </x:c>
      <x:c r="M167" s="30" t="str">
        <x:v>副线</x:v>
      </x:c>
      <x:c r="N167" s="27" t="str">
        <x:v>学校合并与活动取消压力、童年同伴利用与孤立的回忆、火灾、可疑成年男性进入女子校活动、喜剧性碰撞与受伤。</x:v>
      </x:c>
      <x:c r="O167" s="30" t="str">
        <x:v>有可对应条目</x:v>
      </x:c>
      <x:c r="P167" s="36" t="n">
        <x:v>1339</x:v>
      </x:c>
      <x:c r="Q167" s="39" t="n">
        <x:v>0.07044299201161947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1340</x:v>
      </x:c>
      <x:c r="Q168" s="39" t="n">
        <x:v>0.16466634661545848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有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1353</x:v>
      </x:c>
      <x:c r="Q169" s="39" t="n">
        <x:v>0.16020775069916102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1355</x:v>
      </x:c>
      <x:c r="Q170" s="39" t="n">
        <x:v>0.08409942117807287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1371</x:v>
      </x:c>
      <x:c r="Q171" s="39" t="n">
        <x:v>0.037065467704792195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花物语</x:v>
      </x:c>
      <x:c r="B172" s="30" t="str">
        <x:v>主线</x:v>
      </x:c>
      <x:c r="C172" s="30" t="str">
        <x:v>文类内百合</x:v>
      </x:c>
      <x:c r="D172" s="30" t="str">
        <x:v>局部</x:v>
      </x:c>
      <x:c r="E172" s="30" t="str">
        <x:v>明确女女恋爱欲望</x:v>
      </x:c>
      <x:c r="F172" s="30" t="str">
        <x:v>多组异质关系</x:v>
      </x:c>
      <x:c r="G172" s="30" t="str">
        <x:v>明确身份自述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正篇事实／强推断／读者解读</x:v>
      </x:c>
      <x:c r="M172" s="30" t="str">
        <x:v>无</x:v>
      </x:c>
      <x:c r="N172" s="27" t="str">
        <x:v>自杀意念与不幸经历、身体异变、欺骗与情绪操纵、女性对女性的吸引表达。</x:v>
      </x:c>
      <x:c r="O172" s="30" t="str">
        <x:v>有可对应条目</x:v>
      </x:c>
      <x:c r="P172" s="36" t="n">
        <x:v>1372</x:v>
      </x:c>
      <x:c r="Q172" s="39" t="n">
        <x:v>0.019823924151942375</x:v>
      </x:c>
      <x:c r="R172" s="33" t="str">
        <x:v>有</x:v>
      </x:c>
      <x:c r="S172" s="42" t="str">
        <x:v>无</x:v>
      </x:c>
      <x:c r="T172" s="33" t="n">
        <x:v>72</x:v>
      </x:c>
      <x:c r="U172" s="27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有可对应条目</x:v>
      </x:c>
      <x:c r="P173" s="36" t="n">
        <x:v>1379</x:v>
      </x:c>
      <x:c r="Q173" s="39" t="n">
        <x:v>0.03138201569100785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0.11322605252642667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1390</x:v>
      </x:c>
      <x:c r="Q175" s="39" t="n">
        <x:v>0.0524948024948025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1393</x:v>
      </x:c>
      <x:c r="Q176" s="39" t="n">
        <x:v>0.09069447176864057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1396</x:v>
      </x:c>
      <x:c r="Q177" s="39" t="n">
        <x:v>0.08636453331579294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1400</x:v>
      </x:c>
      <x:c r="Q178" s="39" t="n">
        <x:v>0.08066896212493851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1410</x:v>
      </x:c>
      <x:c r="Q179" s="39" t="n">
        <x:v>0.13629016616021206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1417</x:v>
      </x:c>
      <x:c r="Q180" s="39" t="n">
        <x:v>0.0157128680119087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1440</x:v>
      </x:c>
      <x:c r="Q181" s="39" t="n">
        <x:v>0.12889946025066326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0.05763964950711939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1449</x:v>
      </x:c>
      <x:c r="Q183" s="39" t="n">
        <x:v>0.1228794131132508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0.09806224310041103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1468</x:v>
      </x:c>
      <x:c r="Q185" s="39" t="n">
        <x:v>0.14457831325301204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1474</x:v>
      </x:c>
      <x:c r="Q186" s="39" t="n">
        <x:v>0.07483764560354603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1475</x:v>
      </x:c>
      <x:c r="Q187" s="39" t="n">
        <x:v>0.05337159253945481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1476</x:v>
      </x:c>
      <x:c r="Q188" s="39" t="n">
        <x:v>0.15541074249605055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1501</x:v>
      </x:c>
      <x:c r="Q189" s="39" t="n">
        <x:v>0.069167072576717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0.013960172449189078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0.05629456939111355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0.05658487731597396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0.09375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1571</x:v>
      </x:c>
      <x:c r="Q194" s="39" t="n">
        <x:v>0.11355067642492792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0.07045744760760159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1631</x:v>
      </x:c>
      <x:c r="Q197" s="39" t="n">
        <x:v>0.06369484461357253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随风舞月影兰</x:v>
      </x:c>
      <x:c r="B198" s="30" t="str">
        <x:v>主线</x:v>
      </x:c>
      <x:c r="C198" s="30" t="str">
        <x:v>文类内百合</x:v>
      </x:c>
      <x:c r="D198" s="30" t="str">
        <x:v>缺席</x:v>
      </x:c>
      <x:c r="E198" s="30" t="str">
        <x:v>非恋爱</x:v>
      </x:c>
      <x:c r="F198" s="30" t="str">
        <x:v>多组异质关系</x:v>
      </x:c>
      <x:c r="G198" s="30" t="str">
        <x:v>范围内没有性取向身份依据</x:v>
      </x:c>
      <x:c r="H198" s="30" t="str">
        <x:v>所核未见</x:v>
      </x:c>
      <x:c r="I198" s="30" t="str">
        <x:v>是</x:v>
      </x:c>
      <x:c r="J198" s="30" t="str">
        <x:v>范围内版本</x:v>
      </x:c>
      <x:c r="K198" s="30" t="str">
        <x:v>故事／角色页、可见宣传</x:v>
      </x:c>
      <x:c r="L198" s="30" t="str">
        <x:v>正篇事实／读者解读</x:v>
      </x:c>
      <x:c r="M198" s="30" t="str">
        <x:v>副线</x:v>
      </x:c>
      <x:c r="N198" s="27" t="str">
        <x:v>刀剑与拳法暴力、绑架和人口贩运、药物依赖与死亡、宗教诈骗、诬告与处刑威胁，以及喜剧性裸露和偷窥</x:v>
      </x:c>
      <x:c r="O198" s="30" t="str">
        <x:v>有可对应条目</x:v>
      </x:c>
      <x:c r="P198" s="36" t="n">
        <x:v>1633</x:v>
      </x:c>
      <x:c r="Q198" s="39" t="n">
        <x:v>0.07352941176470588</x:v>
      </x:c>
      <x:c r="R198" s="33" t="str">
        <x:v>有</x:v>
      </x:c>
      <x:c r="S198" s="42" t="str">
        <x:v>无</x:v>
      </x:c>
      <x:c r="T198" s="33" t="n">
        <x:v>0</x:v>
      </x:c>
      <x:c r="U198" s="27" t="str">
        <x:v>无</x:v>
      </x:c>
    </x:row>
    <x:row r="199" ht="57" customHeight="1">
      <x:c r="A199" s="27" t="str">
        <x:v>少女手工</x:v>
      </x:c>
      <x:c r="B199" s="30" t="str">
        <x:v>重要副线</x:v>
      </x:c>
      <x:c r="C199" s="30" t="str">
        <x:v>文类外百合阅读</x:v>
      </x:c>
      <x:c r="D199" s="30" t="str">
        <x:v>重要副线</x:v>
      </x:c>
      <x:c r="E199" s="30" t="str">
        <x:v>潜在恋爱</x:v>
      </x:c>
      <x:c r="F199" s="30" t="str">
        <x:v>单一主要关系记录</x:v>
      </x:c>
      <x:c r="G199" s="30" t="str">
        <x:v>只有关系性质推断，无身份自述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正篇事实／强推断／读者解读</x:v>
      </x:c>
      <x:c r="M199" s="30" t="str">
        <x:v>无</x:v>
      </x:c>
      <x:c r="N199" s="27" t="str">
        <x:v>工具误操作与反复轻伤的喜剧化表现、丧亲回忆、短暂离别</x:v>
      </x:c>
      <x:c r="O199" s="30" t="str">
        <x:v>有可对应条目</x:v>
      </x:c>
      <x:c r="P199" s="36" t="n">
        <x:v>1639</x:v>
      </x:c>
      <x:c r="Q199" s="39" t="n">
        <x:v>0.05823876132664731</x:v>
      </x:c>
      <x:c r="R199" s="33" t="str">
        <x:v>有</x:v>
      </x:c>
      <x:c r="S199" s="42" t="str">
        <x:v>无</x:v>
      </x:c>
      <x:c r="T199" s="33" t="n">
        <x:v>36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1655</x:v>
      </x:c>
      <x:c r="Q200" s="39" t="n">
        <x:v>0.13782196113872572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英雄联盟：双城之战 第二季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明确女女恋爱欲望</x:v>
      </x:c>
      <x:c r="F201" s="30" t="str">
        <x:v>多组异质关系</x:v>
      </x:c>
      <x:c r="G201" s="30" t="str">
        <x:v>只有明确关系／欲望事实，无身份自述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访谈／评论、可见宣传</x:v>
      </x:c>
      <x:c r="L201" s="30" t="str">
        <x:v>正篇事实＋强推断＋读者解读</x:v>
      </x:c>
      <x:c r="M201" s="30" t="str">
        <x:v>副线</x:v>
      </x:c>
      <x:c r="N201" s="27" t="str">
        <x:v>战争、死亡与儿童受伤威胁、姐妹创伤、监禁与政治暴力、酒精滥用、地下格斗、自我毁灭／自杀意念、背叛，以及 Vi／Caitlyn 的冲突与高强度情感对话。</x:v>
      </x:c>
      <x:c r="O201" s="30" t="str">
        <x:v>有可对应条目</x:v>
      </x:c>
      <x:c r="P201" s="36" t="n">
        <x:v>1694</x:v>
      </x:c>
      <x:c r="Q201" s="39" t="n">
        <x:v>0.006825232678386763</x:v>
      </x:c>
      <x:c r="R201" s="33" t="str">
        <x:v>无</x:v>
      </x:c>
      <x:c r="S201" s="42" t="str">
        <x:v>无可对应条目</x:v>
      </x:c>
      <x:c r="T201" s="33" t="str">
        <x:v>无可对应条目</x:v>
      </x:c>
      <x:c r="U201" s="27" t="str">
        <x:v>无可对应条目</x:v>
      </x:c>
    </x:row>
    <x:row r="202" ht="57" customHeight="1">
      <x:c r="A202" s="27" t="str">
        <x:v>强袭魔女 剧场版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故事／角色页、可见宣传</x:v>
      </x:c>
      <x:c r="L202" s="30" t="str">
        <x:v>正篇事实＋强推断＋读者解读</x:v>
      </x:c>
      <x:c r="M202" s="30" t="str">
        <x:v>无</x:v>
      </x:c>
      <x:c r="N202" s="27" t="str">
        <x:v>战争、空战、负伤和牺牲风险；部队解散与重组压力；频繁裸体、内衣式服装和身体凝视笑料；前后辈崇拜、守护和分离情绪。</x:v>
      </x:c>
      <x:c r="O202" s="30" t="str">
        <x:v>有可对应条目</x:v>
      </x:c>
      <x:c r="P202" s="36" t="n">
        <x:v>1695</x:v>
      </x:c>
      <x:c r="Q202" s="39" t="n">
        <x:v>0.10517241379310345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1726</x:v>
      </x:c>
      <x:c r="Q203" s="39" t="n">
        <x:v>0.12504309849442594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1748</x:v>
      </x:c>
      <x:c r="Q204" s="39" t="n">
        <x:v>0.10851158645276292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1750</x:v>
      </x:c>
      <x:c r="Q205" s="39" t="n">
        <x:v>0.10012759888913908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1761</x:v>
      </x:c>
      <x:c r="Q206" s="39" t="n">
        <x:v>0.029606942317508933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1773</x:v>
      </x:c>
      <x:c r="Q207" s="39" t="n">
        <x:v>0.06956521739130435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1777</x:v>
      </x:c>
      <x:c r="Q208" s="39" t="n">
        <x:v>0.022231632437010374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1785</x:v>
      </x:c>
      <x:c r="Q209" s="39" t="n">
        <x:v>0.08707110241356816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穷神</x:v>
      </x:c>
      <x:c r="B210" s="30" t="str">
        <x:v>主线</x:v>
      </x:c>
      <x:c r="C210" s="30" t="str">
        <x:v>文类内百合</x:v>
      </x:c>
      <x:c r="D210" s="30" t="str">
        <x:v>缺席</x:v>
      </x:c>
      <x:c r="E210" s="30" t="str">
        <x:v>非恋爱</x:v>
      </x:c>
      <x:c r="F210" s="30" t="str">
        <x:v>多组异质关系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副线</x:v>
      </x:c>
      <x:c r="N210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0" s="30" t="str">
        <x:v>有可对应条目</x:v>
      </x:c>
      <x:c r="P210" s="36" t="n">
        <x:v>1814</x:v>
      </x:c>
      <x:c r="Q210" s="39" t="n">
        <x:v>0.03339361060880048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无</x:v>
      </x:c>
      <x:c r="N211" s="27" t="str">
        <x:v>过度训练后病倒、朋友隐瞒离别计划与关系破裂、未经同意的胸部触碰笑料、泳装与洗浴场景、外貌及体型笑料。</x:v>
      </x:c>
      <x:c r="O211" s="30" t="str">
        <x:v>有可对应条目</x:v>
      </x:c>
      <x:c r="P211" s="36" t="n">
        <x:v>1815</x:v>
      </x:c>
      <x:c r="Q211" s="39" t="n">
        <x:v>0.05861767279090114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小鸟之翼 高尔夫少女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明确女女恋爱欲望</x:v>
      </x:c>
      <x:c r="F212" s="30" t="str">
        <x:v>单一主要关系记录</x:v>
      </x:c>
      <x:c r="G212" s="30" t="str">
        <x:v>只有明确关系／欲望事实，无身份自述</x:v>
      </x:c>
      <x:c r="H212" s="30" t="str">
        <x:v>所核未见</x:v>
      </x:c>
      <x:c r="I212" s="30" t="str">
        <x:v>是</x:v>
      </x:c>
      <x:c r="J212" s="30" t="str">
        <x:v>范围内版本</x:v>
      </x:c>
      <x:c r="K212" s="30" t="str">
        <x:v>可见宣传</x:v>
      </x:c>
      <x:c r="L212" s="30" t="str">
        <x:v>正篇事实＋强推断＋读者解读</x:v>
      </x:c>
      <x:c r="M212" s="30" t="str">
        <x:v>无</x:v>
      </x:c>
      <x:c r="N212" s="27" t="str">
        <x:v>地下赌博与犯罪组织胁迫、枪击与致命暴力、贫困和强制拆迁、带性意味的威吓与身体边界侵犯、未成年角色处于高风险环境、少量裸露与性化玩笑</x:v>
      </x:c>
      <x:c r="O212" s="30" t="str">
        <x:v>有可对应条目</x:v>
      </x:c>
      <x:c r="P212" s="36" t="n">
        <x:v>1822</x:v>
      </x:c>
      <x:c r="Q212" s="39" t="n">
        <x:v>0.12472885032537961</x:v>
      </x:c>
      <x:c r="R212" s="33" t="str">
        <x:v>有</x:v>
      </x:c>
      <x:c r="S212" s="42" t="str">
        <x:v>无</x:v>
      </x:c>
      <x:c r="T212" s="33" t="n">
        <x:v>46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1824</x:v>
      </x:c>
      <x:c r="Q213" s="39" t="n">
        <x:v>0.1126327279944428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1846</x:v>
      </x:c>
      <x:c r="Q214" s="39" t="n">
        <x:v>0.11127596439169139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1854</x:v>
      </x:c>
      <x:c r="Q215" s="39" t="n">
        <x:v>0.05339195979899498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1856</x:v>
      </x:c>
      <x:c r="Q216" s="39" t="n">
        <x:v>0.12327656123276562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1866</x:v>
      </x:c>
      <x:c r="Q217" s="39" t="n">
        <x:v>0.04692325968163459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1868</x:v>
      </x:c>
      <x:c r="Q218" s="39" t="n">
        <x:v>0.04808800419067575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1874</x:v>
      </x:c>
      <x:c r="Q219" s="39" t="n">
        <x:v>0.09301760777170613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1908</x:v>
      </x:c>
      <x:c r="Q220" s="39" t="n">
        <x:v>0.04446460980036298</x:v>
      </x:c>
      <x:c r="R220" s="33" t="str">
        <x:v>无</x:v>
      </x:c>
      <x:c r="S220" s="42" t="str">
        <x:v>无</x:v>
      </x:c>
      <x:c r="T220" s="33" t="n">
        <x:v>0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0.018822264049475665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1932</x:v>
      </x:c>
      <x:c r="Q222" s="39" t="n">
        <x:v>0.10104837691044588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1941</x:v>
      </x:c>
      <x:c r="Q223" s="39" t="n">
        <x:v>0.03539094650205761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1947</x:v>
      </x:c>
      <x:c r="Q224" s="39" t="n">
        <x:v>0.06351183063511831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1958</x:v>
      </x:c>
      <x:c r="Q225" s="39" t="n">
        <x:v>0.17726293103448276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1975</x:v>
      </x:c>
      <x:c r="Q226" s="39" t="n">
        <x:v>0.1480625173402386</x:v>
      </x:c>
      <x:c r="R226" s="33" t="str">
        <x:v>有</x:v>
      </x:c>
      <x:c r="S226" s="42" t="str">
        <x:v>有</x:v>
      </x:c>
      <x:c r="T226" s="33" t="n">
        <x:v>92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1982</x:v>
      </x:c>
      <x:c r="Q227" s="39" t="n">
        <x:v>0.08781869688385269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2027</x:v>
      </x:c>
      <x:c r="Q228" s="39" t="n">
        <x:v>0.0205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2039</x:v>
      </x:c>
      <x:c r="Q229" s="39" t="n">
        <x:v>0.057866037275168876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Fate/kaleid liner 魔法少女☆伊莉雅 2wei Herz!</x:v>
      </x:c>
      <x:c r="B230" s="30" t="str">
        <x:v>主线</x:v>
      </x:c>
      <x:c r="C230" s="30" t="str">
        <x:v>文类内百合</x:v>
      </x:c>
      <x:c r="D230" s="30" t="str">
        <x:v>重要副线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副线</x:v>
      </x:c>
      <x:c r="N230" s="27" t="str">
        <x:v>未成年角色之间围绕亲吻／唾液补给的台词与尴尬玩笑、角色犹豫的补给台词、男性恋爱药剂、魔法战斗与生命危险</x:v>
      </x:c>
      <x:c r="O230" s="30" t="str">
        <x:v>有可对应条目</x:v>
      </x:c>
      <x:c r="P230" s="36" t="n">
        <x:v>2041</x:v>
      </x:c>
      <x:c r="Q230" s="39" t="n">
        <x:v>0.09806629834254144</x:v>
      </x:c>
      <x:c r="R230" s="33" t="str">
        <x:v>有</x:v>
      </x:c>
      <x:c r="S230" s="42" t="str">
        <x:v>无</x:v>
      </x:c>
      <x:c r="T230" s="33" t="n">
        <x:v>20</x:v>
      </x:c>
      <x:c r="U230" s="27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文类内百合</x:v>
      </x:c>
      <x:c r="D231" s="30" t="str">
        <x:v>主线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奇幻战斗、儿童与青少年遇险、时间停止、记忆丧失、亲子分离、胁迫与世界危机。</x:v>
      </x:c>
      <x:c r="O231" s="30" t="str">
        <x:v>有可对应条目</x:v>
      </x:c>
      <x:c r="P231" s="36" t="n">
        <x:v>2046</x:v>
      </x:c>
      <x:c r="Q231" s="39" t="n">
        <x:v>0.07256235827664399</x:v>
      </x:c>
      <x:c r="R231" s="33" t="str">
        <x:v>有</x:v>
      </x:c>
      <x:c r="S231" s="42" t="str">
        <x:v>无</x:v>
      </x:c>
      <x:c r="T231" s="33" t="n">
        <x:v>80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2055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有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0.1852511125238398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有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2065</x:v>
      </x:c>
      <x:c r="Q234" s="39" t="n">
        <x:v>0.09947597477573497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2096</x:v>
      </x:c>
      <x:c r="Q235" s="39" t="n">
        <x:v>0.06619144602851323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2106</x:v>
      </x:c>
      <x:c r="Q236" s="39" t="n">
        <x:v>0.09052778748689269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2109</x:v>
      </x:c>
      <x:c r="Q237" s="39" t="n">
        <x:v>0.058885754583921014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2114</x:v>
      </x:c>
      <x:c r="Q238" s="39" t="n">
        <x:v>0.05054410080183276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2117</x:v>
      </x:c>
      <x:c r="Q239" s="39" t="n">
        <x:v>0.10866119037325263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2176</x:v>
      </x:c>
      <x:c r="Q240" s="39" t="n">
        <x:v>0.10192973775358734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2177</x:v>
      </x:c>
      <x:c r="Q241" s="39" t="n">
        <x:v>0.10339350180505415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2180</x:v>
      </x:c>
      <x:c r="Q242" s="39" t="n">
        <x:v>0.04340262677220144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2187</x:v>
      </x:c>
      <x:c r="Q243" s="39" t="n">
        <x:v>0.10410485597326022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2188</x:v>
      </x:c>
      <x:c r="Q244" s="39" t="n">
        <x:v>0.002203742203742204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2195</x:v>
      </x:c>
      <x:c r="Q245" s="39" t="n">
        <x:v>0.18027355364879788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影宅 第二季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故事／角色页、可见宣传</x:v>
      </x:c>
      <x:c r="L246" s="30" t="str">
        <x:v>正篇事实＋强推断＋读者解读</x:v>
      </x:c>
      <x:c r="M246" s="30" t="str">
        <x:v>副线</x:v>
      </x:c>
      <x:c r="N246" s="27" t="str">
        <x:v>主从等级、洗脑与人格剥夺、强制融合、共同跳楼与处分威胁、馆邸监视、单向恋爱与权力不平等。</x:v>
      </x:c>
      <x:c r="O246" s="30" t="str">
        <x:v>有可对应条目</x:v>
      </x:c>
      <x:c r="P246" s="36" t="n">
        <x:v>2231</x:v>
      </x:c>
      <x:c r="Q246" s="39" t="n">
        <x:v>0.04155124653739612</x:v>
      </x:c>
      <x:c r="R246" s="33" t="str">
        <x:v>无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有可对应条目</x:v>
      </x:c>
      <x:c r="P247" s="36" t="n">
        <x:v>2232</x:v>
      </x:c>
      <x:c r="Q247" s="39" t="n">
        <x:v>0.04323211528564076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玛利亚狂热 ALIVE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是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8" s="30" t="str">
        <x:v>有可对应条目</x:v>
      </x:c>
      <x:c r="P248" s="36" t="n">
        <x:v>2240</x:v>
      </x:c>
      <x:c r="Q248" s="39" t="n">
        <x:v>0.07659483678259014</x:v>
      </x:c>
      <x:c r="R248" s="33" t="str">
        <x:v>有</x:v>
      </x:c>
      <x:c r="S248" s="42" t="str">
        <x:v>有</x:v>
      </x:c>
      <x:c r="T248" s="33" t="n">
        <x:v>92</x:v>
      </x:c>
      <x:c r="U248" s="27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文类内百合</x:v>
      </x:c>
      <x:c r="D249" s="30" t="str">
        <x:v>重要副线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无</x:v>
      </x:c>
      <x:c r="N249" s="27" t="str">
        <x:v>成人向性化台词语境、暴力、强制同化；未作逐镜视觉判断</x:v>
      </x:c>
      <x:c r="O249" s="30" t="str">
        <x:v>有可对应条目</x:v>
      </x:c>
      <x:c r="P249" s="36" t="n">
        <x:v>2241</x:v>
      </x:c>
      <x:c r="Q249" s="39" t="n">
        <x:v>0.07449605609114812</x:v>
      </x:c>
      <x:c r="R249" s="33" t="str">
        <x:v>有</x:v>
      </x:c>
      <x:c r="S249" s="42" t="str">
        <x:v>无</x:v>
      </x:c>
      <x:c r="T249" s="33" t="n">
        <x:v>70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2281</x:v>
      </x:c>
      <x:c r="Q250" s="39" t="n">
        <x:v>0.07050720100187852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2289</x:v>
      </x:c>
      <x:c r="Q251" s="39" t="n">
        <x:v>0.11805749372034607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2295</x:v>
      </x:c>
      <x:c r="Q252" s="39" t="n">
        <x:v>0.11553619580999792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2311</x:v>
      </x:c>
      <x:c r="Q253" s="39" t="n">
        <x:v>0.06494464944649446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2324</x:v>
      </x:c>
      <x:c r="Q254" s="39" t="n">
        <x:v>0.05505685218432076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2325</x:v>
      </x:c>
      <x:c r="Q255" s="39" t="n">
        <x:v>0.09090909090909091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侦探歌剧 少女福尔摩斯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</x:v>
      </x:c>
      <x:c r="M256" s="30" t="str">
        <x:v>副线</x:v>
      </x:c>
      <x:c r="N256" s="27" t="str">
        <x:v>饥饿与居住惩罚、打闹暴力、非自愿身体接触、脱衣和胸部笑料、男性性骚扰、暴露、活埋及溺水险境。</x:v>
      </x:c>
      <x:c r="O256" s="30" t="str">
        <x:v>有可对应条目</x:v>
      </x:c>
      <x:c r="P256" s="36" t="n">
        <x:v>2387</x:v>
      </x:c>
      <x:c r="Q256" s="39" t="n">
        <x:v>0.05593451568894952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强袭魔女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正篇事实／强推断／读者解读</x:v>
      </x:c>
      <x:c r="M257" s="30" t="str">
        <x:v>副线</x:v>
      </x:c>
      <x:c r="N257" s="27" t="str">
        <x:v>战争与空战、未成年角色参战、负伤与推定死亡、丧亲和战时分离、频繁裸体与内衣式服装、身体凝视、侵入性触摸和浴室服务性内容。</x:v>
      </x:c>
      <x:c r="O257" s="30" t="str">
        <x:v>有可对应条目</x:v>
      </x:c>
      <x:c r="P257" s="36" t="n">
        <x:v>2390</x:v>
      </x:c>
      <x:c r="Q257" s="39" t="n">
        <x:v>0.0959792477302205</x:v>
      </x:c>
      <x:c r="R257" s="33" t="str">
        <x:v>有</x:v>
      </x:c>
      <x:c r="S257" s="42" t="str">
        <x:v>无</x:v>
      </x:c>
      <x:c r="T257" s="33" t="n">
        <x:v>68</x:v>
      </x:c>
      <x:c r="U257" s="27" t="str">
        <x:v>无</x:v>
      </x:c>
    </x:row>
    <x:row r="258" ht="57" customHeight="1">
      <x:c r="A258" s="27" t="str">
        <x:v>结城友奈是勇者 -鹫尾须美之章- 第1章 朋友</x:v>
      </x:c>
      <x:c r="B258" s="30" t="str">
        <x:v>主线</x:v>
      </x:c>
      <x:c r="C258" s="30" t="str">
        <x:v>文类内百合</x:v>
      </x:c>
      <x:c r="D258" s="30" t="str">
        <x:v>局部</x:v>
      </x:c>
      <x:c r="E258" s="30" t="str">
        <x:v>明确女女恋爱欲望</x:v>
      </x:c>
      <x:c r="F258" s="30" t="str">
        <x:v>多组异质关系</x:v>
      </x:c>
      <x:c r="G258" s="30" t="str">
        <x:v>只有明确关系／欲望事实，无身份自述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小学六年级少女承担战斗职责、受伤与组织压力；含温泉和身体发育笑料。</x:v>
      </x:c>
      <x:c r="O258" s="30" t="str">
        <x:v>有可对应条目</x:v>
      </x:c>
      <x:c r="P258" s="36" t="n">
        <x:v>2392</x:v>
      </x:c>
      <x:c r="Q258" s="39" t="n">
        <x:v>0.09755301794453507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文类外百合阅读</x:v>
      </x:c>
      <x:c r="D259" s="30" t="str">
        <x:v>主线</x:v>
      </x:c>
      <x:c r="E259" s="30" t="str">
        <x:v>潜在恋爱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碎片化概念叙事、抽象神性意象、魔法少女战斗与不安氛围。</x:v>
      </x:c>
      <x:c r="O259" s="30" t="str">
        <x:v>有可对应条目</x:v>
      </x:c>
      <x:c r="P259" s="36" t="n">
        <x:v>2396</x:v>
      </x:c>
      <x:c r="Q259" s="39" t="n">
        <x:v>0.04831404126824358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天体的秩序 另一个愿望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可见宣传</x:v>
      </x:c>
      <x:c r="L260" s="30" t="str">
        <x:v>正篇事实／强推断／读者解读</x:v>
      </x:c>
      <x:c r="M260" s="30" t="str">
        <x:v>无</x:v>
      </x:c>
      <x:c r="N260" s="27" t="str">
        <x:v>离别焦虑、排斥朋友的尝试、情绪痛苦、归属冲突、暂时消失与重逢</x:v>
      </x:c>
      <x:c r="O260" s="30" t="str">
        <x:v>有可对应条目</x:v>
      </x:c>
      <x:c r="P260" s="36" t="n">
        <x:v>2423</x:v>
      </x:c>
      <x:c r="Q260" s="39" t="n">
        <x:v>0.08073654390934844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魔女猎人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潜在恋爱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故事／角色页、可见宣传</x:v>
      </x:c>
      <x:c r="L261" s="30" t="str">
        <x:v>正篇事实／强推断／读者解读</x:v>
      </x:c>
      <x:c r="M261" s="30" t="str">
        <x:v>并列</x:v>
      </x:c>
      <x:c r="N261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1" s="30" t="str">
        <x:v>有可对应条目</x:v>
      </x:c>
      <x:c r="P261" s="36" t="n">
        <x:v>2424</x:v>
      </x:c>
      <x:c r="Q261" s="39" t="n">
        <x:v>0.12911981388134935</x:v>
      </x:c>
      <x:c r="R261" s="33" t="str">
        <x:v>有</x:v>
      </x:c>
      <x:c r="S261" s="42" t="str">
        <x:v>无</x:v>
      </x:c>
      <x:c r="T261" s="33" t="n">
        <x:v>72</x:v>
      </x:c>
      <x:c r="U261" s="27" t="str">
        <x:v>无</x:v>
      </x:c>
    </x:row>
    <x:row r="262" ht="57" customHeight="1">
      <x:c r="A262" s="27" t="str">
        <x:v>读或死 TV</x:v>
      </x:c>
      <x:c r="B262" s="30" t="str">
        <x:v>主线</x:v>
      </x:c>
      <x:c r="C262" s="30" t="str">
        <x:v>文类内百合</x:v>
      </x:c>
      <x:c r="D262" s="30" t="str">
        <x:v>重要副线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企划、范围内版本</x:v>
      </x:c>
      <x:c r="K262" s="30" t="str">
        <x:v>出版渠道、可见宣传</x:v>
      </x:c>
      <x:c r="L262" s="30" t="str">
        <x:v>正篇事实＋强推断＋读者解读</x:v>
      </x:c>
      <x:c r="M262" s="30" t="str">
        <x:v>副线</x:v>
      </x:c>
      <x:c r="N262" s="27" t="str">
        <x:v>超能力战斗、枪击、爆炸、记忆与身份被操纵；校园离别、创伤及异性恋人背景。</x:v>
      </x:c>
      <x:c r="O262" s="30" t="str">
        <x:v>有可对应条目</x:v>
      </x:c>
      <x:c r="P262" s="36" t="n">
        <x:v>2427</x:v>
      </x:c>
      <x:c r="Q262" s="39" t="n">
        <x:v>0.055836139169472505</x:v>
      </x:c>
      <x:c r="R262" s="33" t="str">
        <x:v>有</x:v>
      </x:c>
      <x:c r="S262" s="42" t="str">
        <x:v>无</x:v>
      </x:c>
      <x:c r="T262" s="33" t="n">
        <x:v>0</x:v>
      </x:c>
      <x:c r="U262" s="27" t="str">
        <x:v>无</x:v>
      </x:c>
    </x:row>
    <x:row r="263" ht="57" customHeight="1">
      <x:c r="A263" s="27" t="str">
        <x:v>邪神与厨二病少女</x:v>
      </x:c>
      <x:c r="B263" s="30" t="str">
        <x:v>主线</x:v>
      </x:c>
      <x:c r="C263" s="30" t="str">
        <x:v>文类内百合</x:v>
      </x:c>
      <x:c r="D263" s="30" t="str">
        <x:v>重要副线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所核未见</x:v>
      </x:c>
      <x:c r="I263" s="30" t="str">
        <x:v>是</x:v>
      </x:c>
      <x:c r="J263" s="30" t="str">
        <x:v>范围内版本</x:v>
      </x:c>
      <x:c r="K263" s="30" t="str">
        <x:v>故事／角色页</x:v>
      </x:c>
      <x:c r="L263" s="30" t="str">
        <x:v>正篇事实＋强推断</x:v>
      </x:c>
      <x:c r="M263" s="30" t="str">
        <x:v>无</x:v>
      </x:c>
      <x:c r="N263" s="27" t="str">
        <x:v>反复谋杀、肢解、酷刑与出血笑料；强制召唤与同居；跟踪、绑走、占有式骚扰和警权滥用；经济剥削与赌博；无家可归、饥饿；裸露、泳装及性化笑料。</x:v>
      </x:c>
      <x:c r="O263" s="30" t="str">
        <x:v>有可对应条目</x:v>
      </x:c>
      <x:c r="P263" s="36" t="n">
        <x:v>2441</x:v>
      </x:c>
      <x:c r="Q263" s="39" t="n">
        <x:v>0.07591024293750387</x:v>
      </x:c>
      <x:c r="R263" s="33" t="str">
        <x:v>有</x:v>
      </x:c>
      <x:c r="S263" s="42" t="str">
        <x:v>无</x:v>
      </x:c>
      <x:c r="T263" s="33" t="n">
        <x:v>10</x:v>
      </x:c>
      <x:c r="U263" s="27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2442</x:v>
      </x:c>
      <x:c r="Q264" s="39" t="n">
        <x:v>0.06642512077294686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A频道+smile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故事／角色页、可见宣传</x:v>
      </x:c>
      <x:c r="L265" s="30" t="str">
        <x:v>正篇事实／强推断／读者解读</x:v>
      </x:c>
      <x:c r="M265" s="30" t="str">
        <x:v>无</x:v>
      </x:c>
      <x:c r="N265" s="27" t="str">
        <x:v>病中照料、喂食、擦拭身体玩笑、同学调侃与轻微身体笑料。</x:v>
      </x:c>
      <x:c r="O265" s="30" t="str">
        <x:v>有可对应条目</x:v>
      </x:c>
      <x:c r="P265" s="36" t="n">
        <x:v>2453</x:v>
      </x:c>
      <x:c r="Q265" s="39" t="n">
        <x:v>0.11583372255955161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百合星人奈绪子 OVA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明确女女恋爱欲望</x:v>
      </x:c>
      <x:c r="F266" s="30" t="str">
        <x:v>多组异质关系</x:v>
      </x:c>
      <x:c r="G266" s="30" t="str">
        <x:v>只有明确关系／欲望事实，无身份自述</x:v>
      </x:c>
      <x:c r="H266" s="30" t="str">
        <x:v>是</x:v>
      </x:c>
      <x:c r="I266" s="30" t="str">
        <x:v>是</x:v>
      </x:c>
      <x:c r="J266" s="30" t="str">
        <x:v>范围内版本</x:v>
      </x:c>
      <x:c r="K266" s="30" t="str">
        <x:v>故事／角色页、可见宣传</x:v>
      </x:c>
      <x:c r="L266" s="30" t="str">
        <x:v>正篇事实、强推断、读者解读</x:v>
      </x:c>
      <x:c r="M266" s="30" t="str">
        <x:v>无</x:v>
      </x:c>
      <x:c r="N266" s="27" t="str">
        <x:v>露骨性双关、色情书与性工作笑料、未成年少女性化、冒充亲属、边界侵犯、非自愿干预与长期昏睡。</x:v>
      </x:c>
      <x:c r="O266" s="30" t="str">
        <x:v>有可对应条目</x:v>
      </x:c>
      <x:c r="P266" s="36" t="n">
        <x:v>2457</x:v>
      </x:c>
      <x:c r="Q266" s="39" t="n">
        <x:v>0.11063218390804598</x:v>
      </x:c>
      <x:c r="R266" s="33" t="str">
        <x:v>有</x:v>
      </x:c>
      <x:c r="S266" s="42" t="str">
        <x:v>无</x:v>
      </x:c>
      <x:c r="T266" s="33" t="n">
        <x:v>68</x:v>
      </x:c>
      <x:c r="U266" s="27" t="str">
        <x:v>有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2468</x:v>
      </x:c>
      <x:c r="Q267" s="39" t="n">
        <x:v>0.1371922273561618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2472</x:v>
      </x:c>
      <x:c r="Q268" s="39" t="n">
        <x:v>0.01572965293281916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0.017556801416347006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2501</x:v>
      </x:c>
      <x:c r="Q270" s="39" t="n">
        <x:v>0.002700019853087155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2546</x:v>
      </x:c>
      <x:c r="Q271" s="39" t="n">
        <x:v>0.03913419913419913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2585</x:v>
      </x:c>
      <x:c r="Q272" s="39" t="n">
        <x:v>0.07523009203681473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2587</x:v>
      </x:c>
      <x:c r="Q273" s="39" t="n">
        <x:v>0.13278280246428104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2591</x:v>
      </x:c>
      <x:c r="Q274" s="39" t="n">
        <x:v>0.1314189189189189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2594</x:v>
      </x:c>
      <x:c r="Q275" s="39" t="n">
        <x:v>0.048328488372093026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2596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A频道 来吃火锅吧</x:v>
      </x:c>
      <x:c r="B277" s="30" t="str">
        <x:v>主线</x:v>
      </x:c>
      <x:c r="C277" s="30" t="str">
        <x:v>文类内百合</x:v>
      </x:c>
      <x:c r="D277" s="30" t="str">
        <x:v>重要副线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可见宣传</x:v>
      </x:c>
      <x:c r="L277" s="30" t="str">
        <x:v>正篇事实／强推断／读者解读</x:v>
      </x:c>
      <x:c r="M277" s="30" t="str">
        <x:v>无</x:v>
      </x:c>
      <x:c r="N277" s="27" t="str">
        <x:v>夸张想念与寻找、暗锅恶作剧、饮食与体重笑料、校园群像日常</x:v>
      </x:c>
      <x:c r="O277" s="30" t="str">
        <x:v>有可对应条目</x:v>
      </x:c>
      <x:c r="P277" s="36" t="n">
        <x:v>2622</x:v>
      </x:c>
      <x:c r="Q277" s="39" t="n">
        <x:v>0.1097770154373928</x:v>
      </x:c>
      <x:c r="R277" s="33" t="str">
        <x:v>有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2632</x:v>
      </x:c>
      <x:c r="Q278" s="39" t="n">
        <x:v>0.081374321880651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雾尾粉丝俱乐部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—</x:v>
      </x:c>
      <x:c r="K279" s="30" t="str">
        <x:v>—</x:v>
      </x:c>
      <x:c r="L279" s="30" t="str">
        <x:v>正篇事实／强推断／读者解读</x:v>
      </x:c>
      <x:c r="M279" s="30" t="str">
        <x:v>并列</x:v>
      </x:c>
      <x:c r="N279" s="27" t="str">
        <x:v>童年好友病逝与哀伤、拒学和负罪感、跟踪拍摄及个人边界侵犯笑料、涉及高中生的体液／排泄／性暗示笑料、诅咒与受伤幻想、单恋与拒绝</x:v>
      </x:c>
      <x:c r="O279" s="30" t="str">
        <x:v>有可对应条目</x:v>
      </x:c>
      <x:c r="P279" s="36" t="n">
        <x:v>2647</x:v>
      </x:c>
      <x:c r="Q279" s="39" t="n">
        <x:v>0.04204625087596356</x:v>
      </x:c>
      <x:c r="R279" s="33" t="str">
        <x:v>无</x:v>
      </x:c>
      <x:c r="S279" s="42" t="str">
        <x:v>无</x:v>
      </x:c>
      <x:c r="T279" s="33" t="n">
        <x:v>58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2668</x:v>
      </x:c>
      <x:c r="Q280" s="39" t="n">
        <x:v>0.09349486436660522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0.06520143532865764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2687</x:v>
      </x:c>
      <x:c r="Q282" s="39" t="n">
        <x:v>0.14431725265739984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2711</x:v>
      </x:c>
      <x:c r="Q283" s="39" t="n">
        <x:v>0.11829501915708812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2719</x:v>
      </x:c>
      <x:c r="Q284" s="39" t="n">
        <x:v>0.0522252497729337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有可对应条目</x:v>
      </x:c>
      <x:c r="P285" s="36" t="n">
        <x:v>2720</x:v>
      </x:c>
      <x:c r="Q285" s="39" t="n">
        <x:v>0.05727725511898174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剧场版 BanG Dream! It's MyGO!!!!! 后篇 歌唱着，由我们所作的歌 &amp; FILM LIVE</x:v>
      </x:c>
      <x:c r="B286" s="30" t="str">
        <x:v>主线</x:v>
      </x:c>
      <x:c r="C286" s="30" t="str">
        <x:v>文类内百合</x:v>
      </x:c>
      <x:c r="D286" s="30" t="str">
        <x:v>重要副线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出版渠道、可见宣传</x:v>
      </x:c>
      <x:c r="L286" s="30" t="str">
        <x:v>正篇事实／强推断／读者解读</x:v>
      </x:c>
      <x:c r="M286" s="30" t="str">
        <x:v>无</x:v>
      </x:c>
      <x:c r="N286" s="27" t="str">
        <x:v>旧乐队解散、关系操控、强烈依赖、排斥、情绪崩溃与舞台表演</x:v>
      </x:c>
      <x:c r="O286" s="30" t="str">
        <x:v>有可对应条目</x:v>
      </x:c>
      <x:c r="P286" s="36" t="n">
        <x:v>2737</x:v>
      </x:c>
      <x:c r="Q286" s="39" t="n">
        <x:v>0.037699371677138716</x:v>
      </x:c>
      <x:c r="R286" s="33" t="str">
        <x:v>无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2789</x:v>
      </x:c>
      <x:c r="Q287" s="39" t="n">
        <x:v>0.01281436305077777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2792</x:v>
      </x:c>
      <x:c r="Q288" s="39" t="n">
        <x:v>0.032494220395581815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2802</x:v>
      </x:c>
      <x:c r="Q289" s="39" t="n">
        <x:v>0.10488888888888889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2812</x:v>
      </x:c>
      <x:c r="Q290" s="39" t="n">
        <x:v>0.10224274406332454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2814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2822</x:v>
      </x:c>
      <x:c r="Q292" s="39" t="n">
        <x:v>0.0575614861329147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2826</x:v>
      </x:c>
      <x:c r="Q293" s="39" t="n">
        <x:v>0.11784757730703677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0.10517916727114464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0.06577206577206578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2859</x:v>
      </x:c>
      <x:c r="Q296" s="39" t="n">
        <x:v>0.10734157650695518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2869</x:v>
      </x:c>
      <x:c r="Q297" s="39" t="n">
        <x:v>0.02882188869703812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2893</x:v>
      </x:c>
      <x:c r="Q298" s="39" t="n">
        <x:v>0.10504300418292052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2898</x:v>
      </x:c>
      <x:c r="Q299" s="39" t="n">
        <x:v>0.06094043887147335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2926</x:v>
      </x:c>
      <x:c r="Q300" s="39" t="n">
        <x:v>0.07212106881059352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2938</x:v>
      </x:c>
      <x:c r="Q301" s="39" t="n">
        <x:v>0.05282877482203072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2947</x:v>
      </x:c>
      <x:c r="Q302" s="39" t="n">
        <x:v>0.05601194921583271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2997</x:v>
      </x:c>
      <x:c r="Q303" s="39" t="n">
        <x:v>0.09620565783565335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3028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3041</x:v>
      </x:c>
      <x:c r="Q305" s="39" t="n">
        <x:v>0.05435897435897436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0.05854355069014755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3072</x:v>
      </x:c>
      <x:c r="Q307" s="39" t="n">
        <x:v>0.18945692552626925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有可对应条目</x:v>
      </x:c>
      <x:c r="P308" s="36" t="n">
        <x:v>3083</x:v>
      </x:c>
      <x:c r="Q308" s="39" t="n">
        <x:v>0.033336526487211415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虹四动画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无</x:v>
      </x:c>
      <x:c r="N309" s="27" t="str">
        <x:v>短篇喜剧将亲密互动压缩为笑点；侑与步梦有特殊幼驯染读法；“妹妹”游戏、竞争和恶作剧会夸张呈现关系边界。</x:v>
      </x:c>
      <x:c r="O309" s="30" t="str">
        <x:v>有可对应条目</x:v>
      </x:c>
      <x:c r="P309" s="36" t="n">
        <x:v>3086</x:v>
      </x:c>
      <x:c r="Q309" s="39" t="n">
        <x:v>0.08187134502923976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3089</x:v>
      </x:c>
      <x:c r="Q310" s="39" t="n">
        <x:v>0.17452929976729425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3097</x:v>
      </x:c>
      <x:c r="Q311" s="39" t="n">
        <x:v>0.08109764401470788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3099</x:v>
      </x:c>
      <x:c r="Q312" s="39" t="n">
        <x:v>0.12266580811332904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3105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3106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3107</x:v>
      </x:c>
      <x:c r="Q315" s="39" t="n">
        <x:v>0.05022887541754299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0.060723514211886306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3115</x:v>
      </x:c>
      <x:c r="Q317" s="39" t="n">
        <x:v>0.028704763581931848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3122</x:v>
      </x:c>
      <x:c r="Q318" s="39" t="n">
        <x:v>0.11438152011922503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0.09847036328871893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3133</x:v>
      </x:c>
      <x:c r="Q320" s="39" t="n">
        <x:v>0.02327355971003434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3165</x:v>
      </x:c>
      <x:c r="Q321" s="39" t="n">
        <x:v>0.12199838839645447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3167</x:v>
      </x:c>
      <x:c r="Q322" s="39" t="n">
        <x:v>0.05393835616438356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3180</x:v>
      </x:c>
      <x:c r="Q323" s="39" t="n">
        <x:v>0.06828662646328486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3201</x:v>
      </x:c>
      <x:c r="Q324" s="39" t="n">
        <x:v>0.09502823302575403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3202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3204</x:v>
      </x:c>
      <x:c r="Q326" s="39" t="n">
        <x:v>0.06267409470752089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剧场版 BanG Dream! It's MyGO!!!!! 前篇 春日向阳，迷途野猫</x:v>
      </x:c>
      <x:c r="B327" s="30" t="str">
        <x:v>主线</x:v>
      </x:c>
      <x:c r="C327" s="30" t="str">
        <x:v>文类内百合</x:v>
      </x:c>
      <x:c r="D327" s="30" t="str">
        <x:v>局部</x:v>
      </x:c>
      <x:c r="E327" s="30" t="str">
        <x:v>潜在恋爱</x:v>
      </x:c>
      <x:c r="F327" s="30" t="str">
        <x:v>多组异质关系</x:v>
      </x:c>
      <x:c r="G327" s="30" t="str">
        <x:v>只有关系性质推断，无身份自述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女子乐队解散创伤、归属焦虑、隐瞒、关系操控、激烈争执与情绪崩溃</x:v>
      </x:c>
      <x:c r="O327" s="30" t="str">
        <x:v>有可对应条目</x:v>
      </x:c>
      <x:c r="P327" s="36" t="n">
        <x:v>3237</x:v>
      </x:c>
      <x:c r="Q327" s="39" t="n">
        <x:v>0.035528942115768465</x:v>
      </x:c>
      <x:c r="R327" s="33" t="str">
        <x:v>无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网球并不可笑嘛 8期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故事／角色页、可见宣传</x:v>
      </x:c>
      <x:c r="L328" s="30" t="str">
        <x:v>正篇事实／强推断／读者解读</x:v>
      </x:c>
      <x:c r="M328" s="30" t="str">
        <x:v>无</x:v>
      </x:c>
      <x:c r="N328" s="27" t="str">
        <x:v>高速短片、荒诞暴力与死亡笑料、胸部和内裤话题、未经同意的触摸台词。</x:v>
      </x:c>
      <x:c r="O328" s="30" t="str">
        <x:v>有可对应条目</x:v>
      </x:c>
      <x:c r="P328" s="36" t="n">
        <x:v>3238</x:v>
      </x:c>
      <x:c r="Q328" s="39" t="n">
        <x:v>0.05608974358974359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0.006616769714719601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Princess Principal Crown Handler 第2章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范围内版本、原作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枪械、追捕、拘留、营救、暗杀未遂、政变阴谋、政治暴力、双重间谍、重要人物死亡与悬念式结尾。</x:v>
      </x:c>
      <x:c r="O330" s="30" t="str">
        <x:v>有可对应条目</x:v>
      </x:c>
      <x:c r="P330" s="36" t="n">
        <x:v>3245</x:v>
      </x:c>
      <x:c r="Q330" s="39" t="n">
        <x:v>0.11397557666214382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3255</x:v>
      </x:c>
      <x:c r="Q331" s="39" t="n">
        <x:v>0.06498433118918027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3263</x:v>
      </x:c>
      <x:c r="Q332" s="39" t="n">
        <x:v>0.05776444111027757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0.03265778807180081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3284</x:v>
      </x:c>
      <x:c r="Q335" s="39" t="n">
        <x:v>0.09273570324574962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3298</x:v>
      </x:c>
      <x:c r="Q336" s="39" t="n">
        <x:v>0.05367647058823529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3309</x:v>
      </x:c>
      <x:c r="Q337" s="39" t="n">
        <x:v>0.11342309261525908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3333</x:v>
      </x:c>
      <x:c r="Q338" s="39" t="n">
        <x:v>0.06205858515688318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3353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0.0996422182468694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3383</x:v>
      </x:c>
      <x:c r="Q341" s="39" t="n">
        <x:v>0.10632497273718648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有可对应条目</x:v>
      </x:c>
      <x:c r="P342" s="36" t="n">
        <x:v>3393</x:v>
      </x:c>
      <x:c r="Q342" s="39" t="n">
        <x:v>0.08837468636743798</x:v>
      </x:c>
      <x:c r="R342" s="33" t="str">
        <x:v>有</x:v>
      </x:c>
      <x:c r="S342" s="42" t="str">
        <x:v>无</x:v>
      </x:c>
      <x:c r="T342" s="33" t="n">
        <x:v>79</x:v>
      </x:c>
      <x:c r="U342" s="27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有可对应条目</x:v>
      </x:c>
      <x:c r="P343" s="36" t="n">
        <x:v>3398</x:v>
      </x:c>
      <x:c r="Q343" s="39" t="n">
        <x:v>0.05203761755485893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3457</x:v>
      </x:c>
      <x:c r="Q345" s="39" t="n">
        <x:v>0.09731543624161074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3500</x:v>
      </x:c>
      <x:c r="Q346" s="39" t="n">
        <x:v>0.060476190476190475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3505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3517</x:v>
      </x:c>
      <x:c r="Q348" s="39" t="n">
        <x:v>0.04317517427479199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3528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这里是充满笑容的职场。</x:v>
      </x:c>
      <x:c r="B350" s="30" t="str">
        <x:v>主线</x:v>
      </x:c>
      <x:c r="C350" s="30" t="str">
        <x:v>文类内百合</x:v>
      </x:c>
      <x:c r="D350" s="30" t="str">
        <x:v>局部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是</x:v>
      </x:c>
      <x:c r="J350" s="30" t="str">
        <x:v>范围内版本</x:v>
      </x:c>
      <x:c r="K350" s="30" t="str">
        <x:v>HTML 元数据、故事／角色页</x:v>
      </x:c>
      <x:c r="L350" s="30" t="str">
        <x:v>正篇事实＋强推断＋读者解读</x:v>
      </x:c>
      <x:c r="M350" s="30" t="str">
        <x:v>无</x:v>
      </x:c>
      <x:c r="N350" s="27" t="str">
        <x:v>截稿与职业焦虑、酒后纠缠笑料、自我贬抑、体重与饮食笑话、成人漫画工作话题</x:v>
      </x:c>
      <x:c r="O350" s="30" t="str">
        <x:v>有可对应条目</x:v>
      </x:c>
      <x:c r="P350" s="36" t="n">
        <x:v>3554</x:v>
      </x:c>
      <x:c r="Q350" s="39" t="n">
        <x:v>0.09467299578059071</x:v>
      </x:c>
      <x:c r="R350" s="33" t="str">
        <x:v>无</x:v>
      </x:c>
      <x:c r="S350" s="42" t="str">
        <x:v>无</x:v>
      </x:c>
      <x:c r="T350" s="33" t="n">
        <x:v>63</x:v>
      </x:c>
      <x:c r="U350" s="27" t="str">
        <x:v>无</x:v>
      </x:c>
    </x:row>
    <x:row r="351" ht="57" customHeight="1">
      <x:c r="A351" s="27" t="str">
        <x:v>一杆青空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—</x:v>
      </x:c>
      <x:c r="K351" s="30" t="str">
        <x:v>—</x:v>
      </x:c>
      <x:c r="L351" s="30" t="str">
        <x:v>正篇事实／强推断／读者解读</x:v>
      </x:c>
      <x:c r="M351" s="30" t="str">
        <x:v>无</x:v>
      </x:c>
      <x:c r="N351" s="27" t="str">
        <x:v>运动挫折、社交媒体压力、年龄与经验差异</x:v>
      </x:c>
      <x:c r="O351" s="30" t="str">
        <x:v>有可对应条目</x:v>
      </x:c>
      <x:c r="P351" s="36" t="n">
        <x:v>3555</x:v>
      </x:c>
      <x:c r="Q351" s="39" t="n">
        <x:v>0.05496828752642706</x:v>
      </x:c>
      <x:c r="R351" s="33" t="str">
        <x:v>无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3578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3618</x:v>
      </x:c>
      <x:c r="Q353" s="39" t="n">
        <x:v>0.14486547628666074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3645</x:v>
      </x:c>
      <x:c r="Q354" s="39" t="n">
        <x:v>0.12263133569557849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三者三叶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副线</x:v>
      </x:c>
      <x:c r="N355" s="27" t="str">
        <x:v>食物匮乏、贫困与大食笑料，言语冲突及带血服装笑料。</x:v>
      </x:c>
      <x:c r="O355" s="30" t="str">
        <x:v>有可对应条目</x:v>
      </x:c>
      <x:c r="P355" s="36" t="n">
        <x:v>3674</x:v>
      </x:c>
      <x:c r="Q355" s="39" t="n">
        <x:v>0.10023114099600756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普通女高中生要做当地偶像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多组同质关系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出版渠道、故事／角色页、可见宣传</x:v>
      </x:c>
      <x:c r="L356" s="30" t="str">
        <x:v>正篇事实、强推断、读者解读</x:v>
      </x:c>
      <x:c r="M356" s="30" t="str">
        <x:v>无</x:v>
      </x:c>
      <x:c r="N356" s="27" t="str">
        <x:v>女高中生泳装与温泉情境、身体羞耻笑料、演出与公众压力、服装失窃疑云</x:v>
      </x:c>
      <x:c r="O356" s="30" t="str">
        <x:v>有可对应条目</x:v>
      </x:c>
      <x:c r="P356" s="36" t="n">
        <x:v>3676</x:v>
      </x:c>
      <x:c r="Q356" s="39" t="n">
        <x:v>0.11161145062721133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女孩的钓鱼慢活</x:v>
      </x:c>
      <x:c r="B357" s="30" t="str">
        <x:v>主线</x:v>
      </x:c>
      <x:c r="C357" s="30" t="str">
        <x:v>文类内百合</x:v>
      </x:c>
      <x:c r="D357" s="30" t="str">
        <x:v>局部</x:v>
      </x:c>
      <x:c r="E357" s="30" t="str">
        <x:v>明确女女恋爱欲望</x:v>
      </x:c>
      <x:c r="F357" s="30" t="str">
        <x:v>多组异质关系</x:v>
      </x:c>
      <x:c r="G357" s="30" t="str">
        <x:v>只有明确关系／欲望事实，无身份自述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正篇事实＋强推断＋读者解读</x:v>
      </x:c>
      <x:c r="M357" s="30" t="str">
        <x:v>无（所核十二话字幕）</x:v>
      </x:c>
      <x:c r="N357" s="27" t="str">
        <x:v>父亲死亡与哀伤、重组家庭适应、性别刻板印象与同伴排斥、饮酒喜剧、成年角色关于年轻女性的喜剧性表述、儿童焦虑与家庭冲突</x:v>
      </x:c>
      <x:c r="O357" s="30" t="str">
        <x:v>有可对应条目</x:v>
      </x:c>
      <x:c r="P357" s="36" t="n">
        <x:v>3677</x:v>
      </x:c>
      <x:c r="Q357" s="39" t="n">
        <x:v>0.08991792233247581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3703</x:v>
      </x:c>
      <x:c r="Q358" s="39" t="n">
        <x:v>0.09453072248480757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3725</x:v>
      </x:c>
      <x:c r="Q360" s="39" t="n">
        <x:v>0.01575907590759076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0.12212286802450736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3755</x:v>
      </x:c>
      <x:c r="Q363" s="39" t="n">
        <x:v>0.07870485678704857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空之音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相邻版本、范围内版本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战争与军事占领、枪炮威胁、战争创伤与丧失、敌国偏见、疾病与儿童遇险、关于婚外恋与非婚生育的回忆叙事。</x:v>
      </x:c>
      <x:c r="O364" s="30" t="str">
        <x:v>有可对应条目</x:v>
      </x:c>
      <x:c r="P364" s="36" t="n">
        <x:v>3759</x:v>
      </x:c>
      <x:c r="Q364" s="39" t="n">
        <x:v>0.020540129326740205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咲日和 OAD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企划、范围内版本、原作</x:v>
      </x:c>
      <x:c r="K365" s="30" t="str">
        <x:v>出版渠道、可见宣传</x:v>
      </x:c>
      <x:c r="L365" s="30" t="str">
        <x:v>正篇事实＋强推断</x:v>
      </x:c>
      <x:c r="M365" s="30" t="str">
        <x:v>无</x:v>
      </x:c>
      <x:c r="N365" s="27" t="str">
        <x:v>女性群像日常、泳装和猫耳玩笑、庆生与团队活动。</x:v>
      </x:c>
      <x:c r="O365" s="30" t="str">
        <x:v>有可对应条目</x:v>
      </x:c>
      <x:c r="P365" s="36" t="n">
        <x:v>3775</x:v>
      </x:c>
      <x:c r="Q365" s="39" t="n">
        <x:v>0.12102689486552567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3784</x:v>
      </x:c>
      <x:c r="Q366" s="39" t="n">
        <x:v>0.12567004169148302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3809</x:v>
      </x:c>
      <x:c r="Q367" s="39" t="n">
        <x:v>0.10754041235117608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3810</x:v>
      </x:c>
      <x:c r="Q368" s="39" t="n">
        <x:v>0.11622683885457608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3829</x:v>
      </x:c>
      <x:c r="Q369" s="39" t="n">
        <x:v>0.08495145631067962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3834</x:v>
      </x:c>
      <x:c r="Q370" s="39" t="n">
        <x:v>0.09427609427609428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3848</x:v>
      </x:c>
      <x:c r="Q371" s="39" t="n">
        <x:v>0.01632302405498282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你的光芒 ～牵牛花与加濑同学。～</x:v>
      </x:c>
      <x:c r="B372" s="30" t="str">
        <x:v>主线</x:v>
      </x:c>
      <x:c r="C372" s="30" t="str">
        <x:v>文类内百合</x:v>
      </x:c>
      <x:c r="D372" s="30" t="str">
        <x:v>主线</x:v>
      </x:c>
      <x:c r="E372" s="30" t="str">
        <x:v>潜在恋爱</x:v>
      </x:c>
      <x:c r="F372" s="30" t="str">
        <x:v>单一主要关系记录</x:v>
      </x:c>
      <x:c r="G372" s="30" t="str">
        <x:v>只有关系性质推断，无身份自述</x:v>
      </x:c>
      <x:c r="H372" s="30" t="str">
        <x:v>所核未见</x:v>
      </x:c>
      <x:c r="I372" s="30" t="str">
        <x:v>是</x:v>
      </x:c>
      <x:c r="J372" s="30" t="str">
        <x:v>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英语字幕是主体未标的歌词轨；完整短片画面已经核对，但脸红、同行或身体距离不单独证明恋爱回应或交往；2018 年 OVA 与漫画不在范围内。</x:v>
      </x:c>
      <x:c r="O372" s="30" t="str">
        <x:v>有可对应条目</x:v>
      </x:c>
      <x:c r="P372" s="36" t="n">
        <x:v>3851</x:v>
      </x:c>
      <x:c r="Q372" s="39" t="n">
        <x:v>0.16184448462929477</x:v>
      </x:c>
      <x:c r="R372" s="33" t="str">
        <x:v>有</x:v>
      </x:c>
      <x:c r="S372" s="42" t="str">
        <x:v>有</x:v>
      </x:c>
      <x:c r="T372" s="33" t="n">
        <x:v>100</x:v>
      </x:c>
      <x:c r="U372" s="27" t="str">
        <x:v>有</x:v>
      </x:c>
    </x:row>
    <x:row r="373" ht="57" customHeight="1">
      <x:c r="A373" s="27" t="str">
        <x:v>江户前精灵</x:v>
      </x:c>
      <x:c r="B373" s="30" t="str">
        <x:v>主线</x:v>
      </x:c>
      <x:c r="C373" s="30" t="str">
        <x:v>文类内百合</x:v>
      </x:c>
      <x:c r="D373" s="30" t="str">
        <x:v>缺席</x:v>
      </x:c>
      <x:c r="E373" s="30" t="str">
        <x:v>非恋爱</x:v>
      </x:c>
      <x:c r="F373" s="30" t="str">
        <x:v>多组异质关系</x:v>
      </x:c>
      <x:c r="G373" s="30" t="str">
        <x:v>范围内没有性取向身份依据</x:v>
      </x:c>
      <x:c r="H373" s="30" t="str">
        <x:v>所核未见</x:v>
      </x:c>
      <x:c r="I373" s="30" t="str">
        <x:v>所核未见</x:v>
      </x:c>
      <x:c r="J373" s="30" t="str">
        <x:v>相邻版本、范围内版本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长寿与历史失落、赌博和金钱困扰的喜剧描写、未成年人的考试焦虑</x:v>
      </x:c>
      <x:c r="O373" s="30" t="str">
        <x:v>有可对应条目</x:v>
      </x:c>
      <x:c r="P373" s="36" t="n">
        <x:v>3852</x:v>
      </x:c>
      <x:c r="Q373" s="39" t="n">
        <x:v>0.04868624420401855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奇蛋物语</x:v>
      </x:c>
      <x:c r="B374" s="30" t="str">
        <x:v>主线</x:v>
      </x:c>
      <x:c r="C374" s="30" t="str">
        <x:v>文类内百合</x:v>
      </x:c>
      <x:c r="D374" s="30" t="str">
        <x:v>重要副线</x:v>
      </x:c>
      <x:c r="E374" s="30" t="str">
        <x:v>明确女女恋爱欲望</x:v>
      </x:c>
      <x:c r="F374" s="30" t="str">
        <x:v>多组异质关系</x:v>
      </x:c>
      <x:c r="G374" s="30" t="str">
        <x:v>只有明确关系／欲望事实，无身份自述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副线</x:v>
      </x:c>
      <x:c r="N374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4" s="30" t="str">
        <x:v>有可对应条目</x:v>
      </x:c>
      <x:c r="P374" s="36" t="n">
        <x:v>3855</x:v>
      </x:c>
      <x:c r="Q374" s="39" t="n">
        <x:v>0.045609935522956425</x:v>
      </x:c>
      <x:c r="R374" s="33" t="str">
        <x:v>无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电影 Love Live! 虹咲学园校园偶像同好会 完结篇 第1章</x:v>
      </x:c>
      <x:c r="B376" s="30" t="str">
        <x:v>主线</x:v>
      </x:c>
      <x:c r="C376" s="30" t="str">
        <x:v>文类内百合</x:v>
      </x:c>
      <x:c r="D376" s="30" t="str">
        <x:v>重要副线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故事／角色页、可见宣传</x:v>
      </x:c>
      <x:c r="L376" s="30" t="str">
        <x:v>正篇事实／强推断／读者解读</x:v>
      </x:c>
      <x:c r="M376" s="30" t="str">
        <x:v>无</x:v>
      </x:c>
      <x:c r="N376" s="27" t="str">
        <x:v>个人排名与公开投票压力、伙伴间竞争与退出焦虑、亲子赞助公平冲突、旧搭档失和与修复、未确认的女女浪漫指向</x:v>
      </x:c>
      <x:c r="O376" s="30" t="str">
        <x:v>有可对应条目</x:v>
      </x:c>
      <x:c r="P376" s="36" t="n">
        <x:v>3903</x:v>
      </x:c>
      <x:c r="Q376" s="39" t="n">
        <x:v>0.07285546415981199</x:v>
      </x:c>
      <x:c r="R376" s="33" t="str">
        <x:v>无</x:v>
      </x:c>
      <x:c r="S376" s="42" t="str">
        <x:v>无</x:v>
      </x:c>
      <x:c r="T376" s="33" t="n">
        <x:v>73</x:v>
      </x:c>
      <x:c r="U376" s="27" t="str">
        <x:v>无</x:v>
      </x:c>
    </x:row>
    <x:row r="377" ht="57" customHeight="1">
      <x:c r="A377" s="27" t="str">
        <x:v>和谐</x:v>
      </x:c>
      <x:c r="B377" s="30" t="str">
        <x:v>主线</x:v>
      </x:c>
      <x:c r="C377" s="30" t="str">
        <x:v>文类内百合</x:v>
      </x:c>
      <x:c r="D377" s="30" t="str">
        <x:v>主线</x:v>
      </x:c>
      <x:c r="E377" s="30" t="str">
        <x:v>明确女女恋爱欲望</x:v>
      </x:c>
      <x:c r="F377" s="30" t="str">
        <x:v>多组异质关系</x:v>
      </x:c>
      <x:c r="G377" s="30" t="str">
        <x:v>只有明确关系／欲望事实，无身份自述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可见宣传</x:v>
      </x:c>
      <x:c r="L377" s="30" t="str">
        <x:v>正篇事实／强推断／读者解读</x:v>
      </x:c>
      <x:c r="M377" s="30" t="str">
        <x:v>无</x:v>
      </x:c>
      <x:c r="N377" s="27" t="str">
        <x:v>自杀与群体死亡、创伤、性暴力相关叙述、意识控制、战争与枪声。</x:v>
      </x:c>
      <x:c r="O377" s="30" t="str">
        <x:v>有可对应条目</x:v>
      </x:c>
      <x:c r="P377" s="36" t="n">
        <x:v>3905</x:v>
      </x:c>
      <x:c r="Q377" s="39" t="n">
        <x:v>0.08110627719080174</x:v>
      </x:c>
      <x:c r="R377" s="33" t="str">
        <x:v>有</x:v>
      </x:c>
      <x:c r="S377" s="42" t="str">
        <x:v>无</x:v>
      </x:c>
      <x:c r="T377" s="33" t="n">
        <x:v>80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3918</x:v>
      </x:c>
      <x:c r="Q378" s="39" t="n">
        <x:v>0.04695089044792229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3922</x:v>
      </x:c>
      <x:c r="Q379" s="39" t="n">
        <x:v>0.12173179645768907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4003</x:v>
      </x:c>
      <x:c r="Q380" s="39" t="n">
        <x:v>0.05211726384364821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4016</x:v>
      </x:c>
      <x:c r="Q381" s="39" t="n">
        <x:v>0.09376487386958592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4018</x:v>
      </x:c>
      <x:c r="Q382" s="39" t="n">
        <x:v>0.13808870598994055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4057</x:v>
      </x:c>
      <x:c r="Q383" s="39" t="n">
        <x:v>0.015984955336154207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4076</x:v>
      </x:c>
      <x:c r="Q384" s="39" t="n">
        <x:v>0.029354538533119024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4098</x:v>
      </x:c>
      <x:c r="Q385" s="39" t="n">
        <x:v>0.08460236886632826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4120</x:v>
      </x:c>
      <x:c r="Q386" s="39" t="n">
        <x:v>0.08250438853130486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4127</x:v>
      </x:c>
      <x:c r="Q387" s="39" t="n">
        <x:v>0.04822954822954823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4128</x:v>
      </x:c>
      <x:c r="Q388" s="39" t="n">
        <x:v>0.024351083757024352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4159</x:v>
      </x:c>
      <x:c r="Q389" s="39" t="n">
        <x:v>0.08158765159867695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4205</x:v>
      </x:c>
      <x:c r="Q390" s="39" t="n">
        <x:v>0.08575031525851198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4215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4231</x:v>
      </x:c>
      <x:c r="Q392" s="39" t="n">
        <x:v>0.10176991150442478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4265</x:v>
      </x:c>
      <x:c r="Q393" s="39" t="n">
        <x:v>0.11533888228299644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4289</x:v>
      </x:c>
      <x:c r="Q394" s="39" t="n">
        <x:v>0.07823529411764706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0.06689419795221843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4308</x:v>
      </x:c>
      <x:c r="Q396" s="39" t="n">
        <x:v>0.06789890607317993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4355</x:v>
      </x:c>
      <x:c r="Q397" s="39" t="n">
        <x:v>0.04529342260732572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4410</x:v>
      </x:c>
      <x:c r="Q398" s="39" t="n">
        <x:v>0.08271604938271605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4418</x:v>
      </x:c>
      <x:c r="Q399" s="39" t="n">
        <x:v>0.08023009385407205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4438</x:v>
      </x:c>
      <x:c r="Q400" s="39" t="n">
        <x:v>0.07783018867924528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萤子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所核未见</x:v>
      </x:c>
      <x:c r="I401" s="30" t="str">
        <x:v>是</x:v>
      </x:c>
      <x:c r="J401" s="30" t="str">
        <x:v>范围内版本</x:v>
      </x:c>
      <x:c r="K401" s="30" t="str">
        <x:v>故事／角色页、可见宣传</x:v>
      </x:c>
      <x:c r="L401" s="30" t="str">
        <x:v>正篇事实／强推断／读者解读</x:v>
      </x:c>
      <x:c r="M401" s="30" t="str">
        <x:v>副线</x:v>
      </x:c>
      <x:c r="N401" s="27" t="str">
        <x:v>18 禁成人内容、亲属关系、操纵、性暴力与同意状态复杂、邪教献祭、血腥恐怖和身体伤害</x:v>
      </x:c>
      <x:c r="O401" s="30" t="str">
        <x:v>有可对应条目</x:v>
      </x:c>
      <x:c r="P401" s="36" t="n">
        <x:v>4476</x:v>
      </x:c>
      <x:c r="Q401" s="39" t="n">
        <x:v>0.10362173038229376</x:v>
      </x:c>
      <x:c r="R401" s="33" t="str">
        <x:v>有</x:v>
      </x:c>
      <x:c r="S401" s="42" t="str">
        <x:v>无可对应条目</x:v>
      </x:c>
      <x:c r="T401" s="33" t="n">
        <x:v>60</x:v>
      </x:c>
      <x:c r="U401" s="27" t="str">
        <x:v>无</x:v>
      </x:c>
    </x:row>
    <x:row r="402" ht="57" customHeight="1">
      <x:c r="A402" s="27" t="str">
        <x:v>迷你百合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是</x:v>
      </x:c>
      <x:c r="I402" s="30" t="str">
        <x:v>所核未见</x:v>
      </x:c>
      <x:c r="J402" s="30" t="str">
        <x:v>范围内版本</x:v>
      </x:c>
      <x:c r="K402" s="30" t="str">
        <x:v>可见宣传</x:v>
      </x:c>
      <x:c r="L402" s="30" t="str">
        <x:v>正篇事实／强推断</x:v>
      </x:c>
      <x:c r="M402" s="30" t="str">
        <x:v>无</x:v>
      </x:c>
      <x:c r="N402" s="27" t="str">
        <x:v>短篇喜剧、单向爱意、占有性笑料、接吻话题、性化鞭打玩笑、身体笑料与推理式假伤害。</x:v>
      </x:c>
      <x:c r="O402" s="30" t="str">
        <x:v>有可对应条目</x:v>
      </x:c>
      <x:c r="P402" s="36" t="n">
        <x:v>4486</x:v>
      </x:c>
      <x:c r="Q402" s="39" t="n">
        <x:v>0.11843711843711843</x:v>
      </x:c>
      <x:c r="R402" s="33" t="str">
        <x:v>有</x:v>
      </x:c>
      <x:c r="S402" s="42" t="str">
        <x:v>有</x:v>
      </x:c>
      <x:c r="T402" s="33" t="n">
        <x:v>79</x:v>
      </x:c>
      <x:c r="U402" s="27" t="str">
        <x:v>有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4487</x:v>
      </x:c>
      <x:c r="Q403" s="39" t="n">
        <x:v>0.07432432432432433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4508</x:v>
      </x:c>
      <x:c r="Q404" s="39" t="n">
        <x:v>0.018301731244847484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4531</x:v>
      </x:c>
      <x:c r="Q405" s="39" t="n">
        <x:v>0.07453837032017618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红壳的潘多拉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出版渠道、故事／角色页、可见宣传</x:v>
      </x:c>
      <x:c r="L406" s="30" t="str">
        <x:v>正篇事实＋强推断＋读者解读</x:v>
      </x:c>
      <x:c r="M406" s="30" t="str">
        <x:v>无</x:v>
      </x:c>
      <x:c r="N406" s="27" t="str">
        <x:v>全身义体、武装机器人、爆炸与动作暴力、身体与性暗示笑料。</x:v>
      </x:c>
      <x:c r="O406" s="30" t="str">
        <x:v>有可对应条目</x:v>
      </x:c>
      <x:c r="P406" s="36" t="n">
        <x:v>4570</x:v>
      </x:c>
      <x:c r="Q406" s="39" t="n">
        <x:v>0.0967741935483871</x:v>
      </x:c>
      <x:c r="R406" s="33" t="str">
        <x:v>有</x:v>
      </x:c>
      <x:c r="S406" s="42" t="str">
        <x:v>无</x:v>
      </x:c>
      <x:c r="T406" s="33" t="n">
        <x:v>78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4577</x:v>
      </x:c>
      <x:c r="Q407" s="39" t="n">
        <x:v>0.060207380978927416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女恶魔人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明确女女恋爱欲望</x:v>
      </x:c>
      <x:c r="F408" s="30" t="str">
        <x:v>多组异质关系</x:v>
      </x:c>
      <x:c r="G408" s="30" t="str">
        <x:v>只有明确关系／欲望事实，无身份自述</x:v>
      </x:c>
      <x:c r="H408" s="30" t="str">
        <x:v>所核未见</x:v>
      </x:c>
      <x:c r="I408" s="30" t="str">
        <x:v>是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副线</x:v>
      </x:c>
      <x:c r="N408" s="27" t="str">
        <x:v>怪物暴力、血腥与死亡；绑架、囚禁、机构控制、药物致昏迷、束缚、难以行使同意时的性化触碰、裸体、性暴力威胁、心理胁迫、丧亲与绝望。</x:v>
      </x:c>
      <x:c r="O408" s="30" t="str">
        <x:v>有可对应条目</x:v>
      </x:c>
      <x:c r="P408" s="36" t="n">
        <x:v>4581</x:v>
      </x:c>
      <x:c r="Q408" s="39" t="n">
        <x:v>0.07547169811320754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D4DJ All Mix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无</x:v>
      </x:c>
      <x:c r="N409" s="27" t="str">
        <x:v>服务义务、地区活动与舞台压力、创作分歧、合宿和温泉情境</x:v>
      </x:c>
      <x:c r="O409" s="30" t="str">
        <x:v>有可对应条目</x:v>
      </x:c>
      <x:c r="P409" s="36" t="n">
        <x:v>4592</x:v>
      </x:c>
      <x:c r="Q409" s="39" t="n">
        <x:v>0.07662463627546072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LoveLive! Sunshine!! 学园偶像 电影 彩虹彼端</x:v>
      </x:c>
      <x:c r="B410" s="30" t="str">
        <x:v>主线</x:v>
      </x:c>
      <x:c r="C410" s="30" t="str">
        <x:v>文类内百合</x:v>
      </x:c>
      <x:c r="D410" s="30" t="str">
        <x:v>缺席</x:v>
      </x:c>
      <x:c r="E410" s="30" t="str">
        <x:v>非恋爱</x:v>
      </x:c>
      <x:c r="F410" s="30" t="str">
        <x:v>多组异质关系</x:v>
      </x:c>
      <x:c r="G410" s="30" t="str">
        <x:v>范围内没有性取向身份依据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副线</x:v>
      </x:c>
      <x:c r="N410" s="27" t="str">
        <x:v>毕业与团体分离、三年级成员失联、家庭安排婚姻的压力、离别和重聚。</x:v>
      </x:c>
      <x:c r="O410" s="30" t="str">
        <x:v>有可对应条目</x:v>
      </x:c>
      <x:c r="P410" s="36" t="n">
        <x:v>4597</x:v>
      </x:c>
      <x:c r="Q410" s="39" t="n">
        <x:v>0.04216660953033939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在地下城寻求邂逅是否搞错了什么 外传 剑姬神圣谭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HTML 元数据、故事／角色页</x:v>
      </x:c>
      <x:c r="L411" s="30" t="str">
        <x:v>正篇事实＋强推断＋读者解读</x:v>
      </x:c>
      <x:c r="M411" s="30" t="str">
        <x:v>副线</x:v>
      </x:c>
      <x:c r="N411" s="27" t="str">
        <x:v>地下城战斗、怪物袭击、伤亡危险、谋杀未遂、身体笑料、单向理想化与嫉妒。</x:v>
      </x:c>
      <x:c r="O411" s="30" t="str">
        <x:v>有可对应条目</x:v>
      </x:c>
      <x:c r="P411" s="36" t="n">
        <x:v>4606</x:v>
      </x:c>
      <x:c r="Q411" s="39" t="n">
        <x:v>0.017514913060033</x:v>
      </x:c>
      <x:c r="R411" s="33" t="str">
        <x:v>无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一个人的○○小日子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</x:v>
      </x:c>
      <x:c r="L412" s="30" t="str">
        <x:v>正篇事实＋读者解读</x:v>
      </x:c>
      <x:c r="M412" s="30" t="str">
        <x:v>无</x:v>
      </x:c>
      <x:c r="N412" s="27" t="str">
        <x:v>严重社交焦虑与回避、紧张引发呕吐或倒下的笑料、幼驯染以绝交为条件的约定、反复害怕被朋友抛下、校园出丑与摔倒、因外貌而令人畏惧的教师。</x:v>
      </x:c>
      <x:c r="O412" s="30" t="str">
        <x:v>有可对应条目</x:v>
      </x:c>
      <x:c r="P412" s="36" t="n">
        <x:v>4615</x:v>
      </x:c>
      <x:c r="Q412" s="39" t="n">
        <x:v>0.09602548543689321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有可对应条目</x:v>
      </x:c>
      <x:c r="P413" s="36" t="n">
        <x:v>4625</x:v>
      </x:c>
      <x:c r="Q413" s="39" t="n">
        <x:v>0.07943625880845612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4641</x:v>
      </x:c>
      <x:c r="Q414" s="39" t="n">
        <x:v>0.11116829644879053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小林家的龙女仆 怕寂寞的龙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家庭分离、亲子关系破裂、龙族战争、战斗、儿童角色卷入危险、性化笑料与暗示性对白。</x:v>
      </x:c>
      <x:c r="O415" s="30" t="str">
        <x:v>有可对应条目</x:v>
      </x:c>
      <x:c r="P415" s="36" t="n">
        <x:v>4648</x:v>
      </x:c>
      <x:c r="Q415" s="39" t="n">
        <x:v>0.036968954248366014</x:v>
      </x:c>
      <x:c r="R415" s="33" t="str">
        <x:v>无</x:v>
      </x:c>
      <x:c r="S415" s="42" t="str">
        <x:v>有</x:v>
      </x:c>
      <x:c r="T415" s="33" t="n">
        <x:v>46</x:v>
      </x:c>
      <x:c r="U415" s="27" t="str">
        <x:v>无</x:v>
      </x:c>
    </x:row>
    <x:row r="416" ht="57" customHeight="1">
      <x:c r="A416" s="27" t="str">
        <x:v>爆裂天使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无</x:v>
      </x:c>
      <x:c r="N416" s="27" t="str">
        <x:v>枪战、爆炸、绑架与拘束、人体实验、政治暴力、未成年人反复置于危险中。</x:v>
      </x:c>
      <x:c r="O416" s="30" t="str">
        <x:v>有可对应条目</x:v>
      </x:c>
      <x:c r="P416" s="36" t="n">
        <x:v>4660</x:v>
      </x:c>
      <x:c r="Q416" s="39" t="n">
        <x:v>0.11976047904191617</x:v>
      </x:c>
      <x:c r="R416" s="33" t="str">
        <x:v>有</x:v>
      </x:c>
      <x:c r="S416" s="42" t="str">
        <x:v>无</x:v>
      </x:c>
      <x:c r="T416" s="33" t="n">
        <x:v>56</x:v>
      </x:c>
      <x:c r="U416" s="27" t="str">
        <x:v>无</x:v>
      </x:c>
    </x:row>
    <x:row r="417" ht="57" customHeight="1">
      <x:c r="A417" s="27" t="str">
        <x:v>虎子</x:v>
      </x:c>
      <x:c r="B417" s="30" t="str">
        <x:v>主线</x:v>
      </x:c>
      <x:c r="C417" s="30" t="str">
        <x:v>文类内百合</x:v>
      </x:c>
      <x:c r="D417" s="30" t="str">
        <x:v>局部</x:v>
      </x:c>
      <x:c r="E417" s="30" t="str">
        <x:v>明确女女恋爱欲望</x:v>
      </x:c>
      <x:c r="F417" s="30" t="str">
        <x:v>多组异质关系</x:v>
      </x:c>
      <x:c r="G417" s="30" t="str">
        <x:v>明确身份自述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故事／角色页</x:v>
      </x:c>
      <x:c r="L417" s="30" t="str">
        <x:v>正篇事实／强推断／读者解读</x:v>
      </x:c>
      <x:c r="M417" s="30" t="str">
        <x:v>副线</x:v>
      </x:c>
      <x:c r="N417" s="27" t="str">
        <x:v>肢体恶作剧、外貌与摄影笑料、学生角色间性玩笑与意外亲吻、单向男性恋爱笑料、家庭冲突与离家情节</x:v>
      </x:c>
      <x:c r="O417" s="30" t="str">
        <x:v>有可对应条目</x:v>
      </x:c>
      <x:c r="P417" s="36" t="n">
        <x:v>4663</x:v>
      </x:c>
      <x:c r="Q417" s="39" t="n">
        <x:v>0.10636442894507411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Happy Sugar Life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明确女女交往关系</x:v>
      </x:c>
      <x:c r="F418" s="30" t="str">
        <x:v>多组异质关系</x:v>
      </x:c>
      <x:c r="G418" s="30" t="str">
        <x:v>只有明确关系／欲望事实，无身份自述</x:v>
      </x:c>
      <x:c r="H418" s="30" t="str">
        <x:v>所核未见</x:v>
      </x:c>
      <x:c r="I418" s="30" t="str">
        <x:v>是</x:v>
      </x:c>
      <x:c r="J418" s="30" t="str">
        <x:v>范围内版本</x:v>
      </x:c>
      <x:c r="K418" s="30" t="str">
        <x:v>故事／角色页、可见宣传</x:v>
      </x:c>
      <x:c r="L418" s="30" t="str">
        <x:v>正篇事实</x:v>
      </x:c>
      <x:c r="M418" s="30" t="str">
        <x:v>副线</x:v>
      </x:c>
      <x:c r="N418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8" s="30" t="str">
        <x:v>有可对应条目</x:v>
      </x:c>
      <x:c r="P418" s="36" t="n">
        <x:v>4676</x:v>
      </x:c>
      <x:c r="Q418" s="39" t="n">
        <x:v>0.15404467384533238</x:v>
      </x:c>
      <x:c r="R418" s="33" t="str">
        <x:v>有</x:v>
      </x:c>
      <x:c r="S418" s="42" t="str">
        <x:v>有</x:v>
      </x:c>
      <x:c r="T418" s="33" t="n">
        <x:v>66</x:v>
      </x:c>
      <x:c r="U418" s="27" t="str">
        <x:v>有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0.06974959224791327</x:v>
      </x:c>
      <x:c r="R419" s="33" t="str">
        <x:v>有</x:v>
      </x:c>
      <x:c r="S419" s="42" t="str">
        <x:v>无</x:v>
      </x:c>
      <x:c r="T419" s="33" t="n">
        <x:v>66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4742</x:v>
      </x:c>
      <x:c r="Q420" s="39" t="n">
        <x:v>0.05978523166023166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4780</x:v>
      </x:c>
      <x:c r="Q421" s="39" t="n">
        <x:v>0.03609913793103448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4794</x:v>
      </x:c>
      <x:c r="Q422" s="39" t="n">
        <x:v>0.04250871080139373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4820</x:v>
      </x:c>
      <x:c r="Q423" s="39" t="n">
        <x:v>0.05423213380638622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4828</x:v>
      </x:c>
      <x:c r="Q424" s="39" t="n">
        <x:v>0.1559967585089141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有可对应条目</x:v>
      </x:c>
      <x:c r="P425" s="36" t="n">
        <x:v>4832</x:v>
      </x:c>
      <x:c r="Q425" s="39" t="n">
        <x:v>0.05279698302954117</x:v>
      </x:c>
      <x:c r="R425" s="33" t="str">
        <x:v>有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有可对应条目</x:v>
      </x:c>
      <x:c r="P426" s="36" t="n">
        <x:v>4838</x:v>
      </x:c>
      <x:c r="Q426" s="39" t="n">
        <x:v>0.10083236750605837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碧蓝航线：微速前行！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</x:v>
      </x:c>
      <x:c r="L427" s="30" t="str">
        <x:v>正篇事实／读者解读</x:v>
      </x:c>
      <x:c r="M427" s="30" t="str">
        <x:v>未知</x:v>
      </x:c>
      <x:c r="N427" s="27" t="str">
        <x:v>指挥官指向的约会与占有台词、泡澡及身体笑料、短暂失忆误会。</x:v>
      </x:c>
      <x:c r="O427" s="30" t="str">
        <x:v>有可对应条目</x:v>
      </x:c>
      <x:c r="P427" s="36" t="n">
        <x:v>4849</x:v>
      </x:c>
      <x:c r="Q427" s="39" t="n">
        <x:v>0.03527640352764035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4863</x:v>
      </x:c>
      <x:c r="Q428" s="39" t="n">
        <x:v>0.04714064914992272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有可对应条目</x:v>
      </x:c>
      <x:c r="P429" s="36" t="n">
        <x:v>4884</x:v>
      </x:c>
      <x:c r="Q429" s="39" t="n">
        <x:v>0.02655310621242485</x:v>
      </x:c>
      <x:c r="R429" s="33" t="str">
        <x:v>无</x:v>
      </x:c>
      <x:c r="S429" s="42" t="str">
        <x:v>无可对应条目</x:v>
      </x:c>
      <x:c r="T429" s="33" t="n">
        <x:v>50</x:v>
      </x:c>
      <x:c r="U429" s="27" t="str">
        <x:v>无</x:v>
      </x:c>
    </x:row>
    <x:row r="430" ht="57" customHeight="1">
      <x:c r="A430" s="27" t="str">
        <x:v>轮回的拉格朗日 鸭川日常</x:v>
      </x:c>
      <x:c r="B430" s="30" t="str">
        <x:v>主线</x:v>
      </x:c>
      <x:c r="C430" s="30" t="str">
        <x:v>文类内百合</x:v>
      </x:c>
      <x:c r="D430" s="30" t="str">
        <x:v>局部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所核未见</x:v>
      </x:c>
      <x:c r="J430" s="30" t="str">
        <x:v>范围内版本、原作</x:v>
      </x:c>
      <x:c r="K430" s="30" t="str">
        <x:v>出版渠道、可见宣传</x:v>
      </x:c>
      <x:c r="L430" s="30" t="str">
        <x:v>正篇事实／强推断／读者解读</x:v>
      </x:c>
      <x:c r="M430" s="30" t="str">
        <x:v>无</x:v>
      </x:c>
      <x:c r="N430" s="27" t="str">
        <x:v>科幻与机甲背景、远距离分隔、友情与恋爱式玩笑并置</x:v>
      </x:c>
      <x:c r="O430" s="30" t="str">
        <x:v>有可对应条目</x:v>
      </x:c>
      <x:c r="P430" s="36" t="n">
        <x:v>4901</x:v>
      </x:c>
      <x:c r="Q430" s="39" t="n">
        <x:v>0.09375</x:v>
      </x:c>
      <x:c r="R430" s="33" t="str">
        <x:v>有</x:v>
      </x:c>
      <x:c r="S430" s="42" t="str">
        <x:v>无</x:v>
      </x:c>
      <x:c r="T430" s="33" t="n">
        <x:v>30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0.07108156481718231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4918</x:v>
      </x:c>
      <x:c r="Q432" s="39" t="n">
        <x:v>0.007129639708283444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女子高中生</x:v>
      </x:c>
      <x:c r="B433" s="30" t="str">
        <x:v>主线</x:v>
      </x:c>
      <x:c r="C433" s="30" t="str">
        <x:v>文类内百合</x:v>
      </x:c>
      <x:c r="D433" s="30" t="str">
        <x:v>局部</x:v>
      </x:c>
      <x:c r="E433" s="30" t="str">
        <x:v>明确女女交往关系</x:v>
      </x:c>
      <x:c r="F433" s="30" t="str">
        <x:v>多组异质关系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副线</x:v>
      </x:c>
      <x:c r="N433" s="27" t="str">
        <x:v>内衣、身体检查、泳装、月经及身体／性话题笑料；男女交往、师生搭讪语境与跟随进洗手间的紧张设置；流言、姐妹冲突与外貌评价</x:v>
      </x:c>
      <x:c r="O433" s="30" t="str">
        <x:v>有可对应条目</x:v>
      </x:c>
      <x:c r="P433" s="36" t="n">
        <x:v>4934</x:v>
      </x:c>
      <x:c r="Q433" s="39" t="n">
        <x:v>0.04700854700854701</x:v>
      </x:c>
      <x:c r="R433" s="33" t="str">
        <x:v>无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强袭魔女 剧场版 501部队起飞！</x:v>
      </x:c>
      <x:c r="B434" s="30" t="str">
        <x:v>主线</x:v>
      </x:c>
      <x:c r="C434" s="30" t="str">
        <x:v>文类内百合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范围内版本、原作</x:v>
      </x:c>
      <x:c r="K434" s="30" t="str">
        <x:v>出版渠道、故事／角色页</x:v>
      </x:c>
      <x:c r="L434" s="30" t="str">
        <x:v>正篇事实／强推断／读者解读</x:v>
      </x:c>
      <x:c r="M434" s="30" t="str">
        <x:v>无</x:v>
      </x:c>
      <x:c r="N434" s="27" t="str">
        <x:v>架空战争、战斗危险、夸张伤势、裸体、内衣式服装与身体笑料</x:v>
      </x:c>
      <x:c r="O434" s="30" t="str">
        <x:v>有可对应条目</x:v>
      </x:c>
      <x:c r="P434" s="36" t="n">
        <x:v>4959</x:v>
      </x:c>
      <x:c r="Q434" s="39" t="n">
        <x:v>0.10869565217391304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BLUE DROP 天使们的戏曲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明确女女交往关系</x:v>
      </x:c>
      <x:c r="F435" s="30" t="str">
        <x:v>单一主要关系记录</x:v>
      </x:c>
      <x:c r="G435" s="30" t="str">
        <x:v>只有明确关系／欲望事实，无身份自述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故事／角色页、可见宣传</x:v>
      </x:c>
      <x:c r="L435" s="30" t="str">
        <x:v>正篇事实／强推断</x:v>
      </x:c>
      <x:c r="M435" s="30" t="str">
        <x:v>无</x:v>
      </x:c>
      <x:c r="N435" s="27" t="str">
        <x:v>科幻侵略与战争、灾难和死亡背景、威胁与肢体攻击、幸存者创伤、分离与牺牲风险</x:v>
      </x:c>
      <x:c r="O435" s="30" t="str">
        <x:v>有可对应条目</x:v>
      </x:c>
      <x:c r="P435" s="36" t="n">
        <x:v>4963</x:v>
      </x:c>
      <x:c r="Q435" s="39" t="n">
        <x:v>0.19047619047619047</x:v>
      </x:c>
      <x:c r="R435" s="33" t="str">
        <x:v>有</x:v>
      </x:c>
      <x:c r="S435" s="42" t="str">
        <x:v>有</x:v>
      </x:c>
      <x:c r="T435" s="33" t="n">
        <x:v>91</x:v>
      </x:c>
      <x:c r="U435" s="27" t="str">
        <x:v>有</x:v>
      </x:c>
    </x:row>
    <x:row r="436" ht="57" customHeight="1">
      <x:c r="A436" s="27" t="str">
        <x:v>你遭难了吗？</x:v>
      </x:c>
      <x:c r="B436" s="30" t="str">
        <x:v>主线</x:v>
      </x:c>
      <x:c r="C436" s="30" t="str">
        <x:v>文类内百合</x:v>
      </x:c>
      <x:c r="D436" s="30" t="str">
        <x:v>缺席</x:v>
      </x:c>
      <x:c r="E436" s="30" t="str">
        <x:v>非恋爱</x:v>
      </x:c>
      <x:c r="F436" s="30" t="str">
        <x:v>多组异质关系</x:v>
      </x:c>
      <x:c r="G436" s="30" t="str">
        <x:v>范围内没有性取向身份依据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可见宣传</x:v>
      </x:c>
      <x:c r="L436" s="30" t="str">
        <x:v>正篇事实／强推断／读者解读</x:v>
      </x:c>
      <x:c r="M436" s="30" t="str">
        <x:v>无</x:v>
      </x:c>
      <x:c r="N436" s="27" t="str">
        <x:v>求生险境、脱水和落水救援、捕猎与食用动物／昆虫、救急口腔接触、侵入性补水、体液与卫生话题，以及学生角色的身体和衣物笑料。</x:v>
      </x:c>
      <x:c r="O436" s="30" t="str">
        <x:v>有可对应条目</x:v>
      </x:c>
      <x:c r="P436" s="36" t="n">
        <x:v>4967</x:v>
      </x:c>
      <x:c r="Q436" s="39" t="n">
        <x:v>0.09407841552142279</x:v>
      </x:c>
      <x:c r="R436" s="33" t="str">
        <x:v>有</x:v>
      </x:c>
      <x:c r="S436" s="42" t="str">
        <x:v>无</x:v>
      </x:c>
      <x:c r="T436" s="33" t="n">
        <x:v>50</x:v>
      </x:c>
      <x:c r="U436" s="27" t="str">
        <x:v>无</x:v>
      </x:c>
    </x:row>
    <x:row r="437" ht="57" customHeight="1">
      <x:c r="A437" s="27" t="str">
        <x:v>转生成为了只有乙女游戏破灭Flag的邪恶大小姐</x:v>
      </x:c>
      <x:c r="B437" s="30" t="str">
        <x:v>重要副线</x:v>
      </x:c>
      <x:c r="C437" s="30" t="str">
        <x:v>文类外百合阅读</x:v>
      </x:c>
      <x:c r="D437" s="30" t="str">
        <x:v>重要副线</x:v>
      </x:c>
      <x:c r="E437" s="30" t="str">
        <x:v>明确女女恋爱欲望</x:v>
      </x:c>
      <x:c r="F437" s="30" t="str">
        <x:v>多组异质关系</x:v>
      </x:c>
      <x:c r="G437" s="30" t="str">
        <x:v>只有明确关系／欲望事实，无身份自述</x:v>
      </x:c>
      <x:c r="H437" s="30" t="str">
        <x:v>所核未见</x:v>
      </x:c>
      <x:c r="I437" s="30" t="str">
        <x:v>是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并列</x:v>
      </x:c>
      <x:c r="N437" s="27" t="str">
        <x:v>阶级霸凌、绑架与非法拘禁、虚假指控及流放或处刑威胁、魔法伤害、占有与嫉妒被喜剧化、收养义姐弟恋爱候选。</x:v>
      </x:c>
      <x:c r="O437" s="30" t="str">
        <x:v>有可对应条目</x:v>
      </x:c>
      <x:c r="P437" s="36" t="n">
        <x:v>4968</x:v>
      </x:c>
      <x:c r="Q437" s="39" t="n">
        <x:v>0.03656150648080215</x:v>
      </x:c>
      <x:c r="R437" s="33" t="str">
        <x:v>无</x:v>
      </x:c>
      <x:c r="S437" s="42" t="str">
        <x:v>无</x:v>
      </x:c>
      <x:c r="T437" s="33" t="n">
        <x:v>30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5020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5023</x:v>
      </x:c>
      <x:c r="Q440" s="39" t="n">
        <x:v>0.055686838590362685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5091</x:v>
      </x:c>
      <x:c r="Q441" s="39" t="n">
        <x:v>0.08970344446491066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5113</x:v>
      </x:c>
      <x:c r="Q442" s="39" t="n">
        <x:v>0.05123241708607562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5128</x:v>
      </x:c>
      <x:c r="Q443" s="39" t="n">
        <x:v>0.05381818181818182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5129</x:v>
      </x:c>
      <x:c r="Q444" s="39" t="n">
        <x:v>0.08531383302864107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斯特拉的魔法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创作期限压力、自我怀疑、疾病与照护，以及涉及未成年角色的恋爱、性别转换和攻受玩笑</x:v>
      </x:c>
      <x:c r="O445" s="30" t="str">
        <x:v>有可对应条目</x:v>
      </x:c>
      <x:c r="P445" s="36" t="n">
        <x:v>5132</x:v>
      </x:c>
      <x:c r="Q445" s="39" t="n">
        <x:v>0.10410958904109589</x:v>
      </x:c>
      <x:c r="R445" s="33" t="str">
        <x:v>有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0.12706007442849548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地下城里的人们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单一主要关系记录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地下城战斗、死亡与复活设定、亲人失踪与早年丧失、犯罪团伙的同伴杀害、雇佣与管理权力差。</x:v>
      </x:c>
      <x:c r="O447" s="30" t="str">
        <x:v>有可对应条目</x:v>
      </x:c>
      <x:c r="P447" s="36" t="n">
        <x:v>5138</x:v>
      </x:c>
      <x:c r="Q447" s="39" t="n">
        <x:v>0.04928027095681626</x:v>
      </x:c>
      <x:c r="R447" s="33" t="str">
        <x:v>无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5169</x:v>
      </x:c>
      <x:c r="Q448" s="39" t="n">
        <x:v>0.04688959461983934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5172</x:v>
      </x:c>
      <x:c r="Q449" s="39" t="n">
        <x:v>0.05544455544455545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5192</x:v>
      </x:c>
      <x:c r="Q450" s="39" t="n">
        <x:v>0.05115740740740741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5196</x:v>
      </x:c>
      <x:c r="Q451" s="39" t="n">
        <x:v>0.05293831957260806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5243</x:v>
      </x:c>
      <x:c r="Q452" s="39" t="n">
        <x:v>0.06217472118959108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0.047406581148912434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5287</x:v>
      </x:c>
      <x:c r="Q454" s="39" t="n">
        <x:v>0.03154159547903798</x:v>
      </x:c>
      <x:c r="R454" s="33" t="str">
        <x:v>有</x:v>
      </x:c>
      <x:c r="S454" s="42" t="str">
        <x:v>无</x:v>
      </x:c>
      <x:c r="T454" s="33" t="n">
        <x:v>58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5294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5300</x:v>
      </x:c>
      <x:c r="Q456" s="39" t="n">
        <x:v>0.1227559437166424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5332</x:v>
      </x:c>
      <x:c r="Q457" s="39" t="n">
        <x:v>0.10303030303030303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5333</x:v>
      </x:c>
      <x:c r="Q458" s="39" t="n">
        <x:v>0.05893305269974905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5338</x:v>
      </x:c>
      <x:c r="Q459" s="39" t="n">
        <x:v>0.013220518244315178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5359</x:v>
      </x:c>
      <x:c r="Q460" s="39" t="n">
        <x:v>0.07158418923124805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5402</x:v>
      </x:c>
      <x:c r="Q461" s="39" t="n">
        <x:v>0.044326241134751775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0.18876404494382024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5436</x:v>
      </x:c>
      <x:c r="Q463" s="39" t="n">
        <x:v>0.04664179104477612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Princess Principal Crown Handler 第4章</x:v>
      </x:c>
      <x:c r="B464" s="30" t="str">
        <x:v>主线</x:v>
      </x:c>
      <x:c r="C464" s="30" t="str">
        <x:v>文类内百合</x:v>
      </x:c>
      <x:c r="D464" s="30" t="str">
        <x:v>重要副线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正篇事实、强推断与读者解读分开记录</x:v>
      </x:c>
      <x:c r="M464" s="30" t="str">
        <x:v>副线</x:v>
      </x:c>
      <x:c r="N464" s="27" t="str">
        <x:v>拘捕、监视、双重间谍、身份伪装、政治压力、持械暴力与身体伤害；未作影片画面复核。</x:v>
      </x:c>
      <x:c r="O464" s="30" t="str">
        <x:v>有可对应条目</x:v>
      </x:c>
      <x:c r="P464" s="36" t="n">
        <x:v>5447</x:v>
      </x:c>
      <x:c r="Q464" s="39" t="n">
        <x:v>0.09412955465587045</x:v>
      </x:c>
      <x:c r="R464" s="33" t="str">
        <x:v>无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5457</x:v>
      </x:c>
      <x:c r="Q465" s="39" t="n">
        <x:v>0.06304347826086956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有可对应条目</x:v>
      </x:c>
      <x:c r="P466" s="36" t="n">
        <x:v>5458</x:v>
      </x:c>
      <x:c r="Q466" s="39" t="n">
        <x:v>0.05503512880562061</x:v>
      </x:c>
      <x:c r="R466" s="33" t="str">
        <x:v>有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5477</x:v>
      </x:c>
      <x:c r="Q467" s="39" t="n">
        <x:v>0.02547685740963052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0.07518978190143391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5486</x:v>
      </x:c>
      <x:c r="Q469" s="39" t="n">
        <x:v>0.0638801261829653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魔法少女什么的已经够了啦。第二季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潜在恋爱</x:v>
      </x:c>
      <x:c r="F470" s="30" t="str">
        <x:v>多组异质关系</x:v>
      </x:c>
      <x:c r="G470" s="30" t="str">
        <x:v>只有关系性质推断，无身份自述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无</x:v>
      </x:c>
      <x:c r="N470" s="27" t="str">
        <x:v>泳装变身、窥视与身体笑料、吉祥物越界玩笑、幽灵及溺水危险。</x:v>
      </x:c>
      <x:c r="O470" s="30" t="str">
        <x:v>有可对应条目</x:v>
      </x:c>
      <x:c r="P470" s="36" t="n">
        <x:v>5507</x:v>
      </x:c>
      <x:c r="Q470" s="39" t="n">
        <x:v>0.10768672951414068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5508</x:v>
      </x:c>
      <x:c r="Q471" s="39" t="n">
        <x:v>0.07702657248570467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花粉少女注意报</x:v>
      </x:c>
      <x:c r="B472" s="30" t="str">
        <x:v>重要副线</x:v>
      </x:c>
      <x:c r="C472" s="30" t="str">
        <x:v>文类外百合阅读</x:v>
      </x:c>
      <x:c r="D472" s="30" t="str">
        <x:v>重要副线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出版渠道</x:v>
      </x:c>
      <x:c r="L472" s="30" t="str">
        <x:v>强推断＋读者解读</x:v>
      </x:c>
      <x:c r="M472" s="30" t="str">
        <x:v>并列</x:v>
      </x:c>
      <x:c r="N472" s="27" t="str">
        <x:v>成人向色情内容、露骨性描写、群体性行为、女性与男性欲望并置、可能的非自愿接触；未作画面复核。</x:v>
      </x:c>
      <x:c r="O472" s="30" t="str">
        <x:v>有可对应条目</x:v>
      </x:c>
      <x:c r="P472" s="36" t="n">
        <x:v>5513</x:v>
      </x:c>
      <x:c r="Q472" s="39" t="n">
        <x:v>0.06079664570230608</x:v>
      </x:c>
      <x:c r="R472" s="33" t="str">
        <x:v>有</x:v>
      </x:c>
      <x:c r="S472" s="42" t="str">
        <x:v>无可对应条目</x:v>
      </x:c>
      <x:c r="T472" s="33" t="n">
        <x:v>60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5528</x:v>
      </x:c>
      <x:c r="Q473" s="39" t="n">
        <x:v>0.08549038233198765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5571</x:v>
      </x:c>
      <x:c r="Q474" s="39" t="n">
        <x:v>0.057459677419354836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5608</x:v>
      </x:c>
      <x:c r="Q475" s="39" t="n">
        <x:v>0.1396125584502338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0.0373675404350251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5624</x:v>
      </x:c>
      <x:c r="Q478" s="39" t="n">
        <x:v>0.05847319978343259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5629</x:v>
      </x:c>
      <x:c r="Q479" s="39" t="n">
        <x:v>0.058629232039636665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5664</x:v>
      </x:c>
      <x:c r="Q480" s="39" t="n">
        <x:v>0.16825224245718945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5672</x:v>
      </x:c>
      <x:c r="Q481" s="39" t="n">
        <x:v>0.06994619523443504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5692</x:v>
      </x:c>
      <x:c r="Q482" s="39" t="n">
        <x:v>0.028299555116164114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5720</x:v>
      </x:c>
      <x:c r="Q483" s="39" t="n">
        <x:v>0.048005409060175794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5725</x:v>
      </x:c>
      <x:c r="Q484" s="39" t="n">
        <x:v>0.052795031055900624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5732</x:v>
      </x:c>
      <x:c r="Q485" s="39" t="n">
        <x:v>0.062293880542323196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5733</x:v>
      </x:c>
      <x:c r="Q486" s="39" t="n">
        <x:v>0.0361800588977703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5738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真・恋姬无双 OVA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范围内版本、原作</x:v>
      </x:c>
      <x:c r="K488" s="30" t="str">
        <x:v>可见宣传</x:v>
      </x:c>
      <x:c r="L488" s="30" t="str">
        <x:v>正篇事实／强推断／读者解读</x:v>
      </x:c>
      <x:c r="M488" s="30" t="str">
        <x:v>无</x:v>
      </x:c>
      <x:c r="N488" s="27" t="str">
        <x:v>泳装、裸露、强制脱衣、胸部与性化身体笑料、巨大章鱼危机</x:v>
      </x:c>
      <x:c r="O488" s="30" t="str">
        <x:v>有可对应条目</x:v>
      </x:c>
      <x:c r="P488" s="36" t="n">
        <x:v>5754</x:v>
      </x:c>
      <x:c r="Q488" s="39" t="n">
        <x:v>0.10111223458038422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突击莉莉Fruits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明确女女恋爱欲望</x:v>
      </x:c>
      <x:c r="F489" s="30" t="str">
        <x:v>多组异质关系</x:v>
      </x:c>
      <x:c r="G489" s="30" t="str">
        <x:v>只有明确关系／欲望事实，无身份自述</x:v>
      </x:c>
      <x:c r="H489" s="30" t="str">
        <x:v>所核未见</x:v>
      </x:c>
      <x:c r="I489" s="30" t="str">
        <x:v>是</x:v>
      </x:c>
      <x:c r="J489" s="30" t="str">
        <x:v>范围内版本</x:v>
      </x:c>
      <x:c r="K489" s="30" t="str">
        <x:v>出版渠道、故事／角色页、可见宣传</x:v>
      </x:c>
      <x:c r="L489" s="30" t="str">
        <x:v>正篇事实＋强推断＋读者解读</x:v>
      </x:c>
      <x:c r="M489" s="30" t="str">
        <x:v>无</x:v>
      </x:c>
      <x:c r="N489" s="27" t="str">
        <x:v>迷你单元喜剧、轻度战斗训练、身体笑料、婚礼化与占有式玩笑。</x:v>
      </x:c>
      <x:c r="O489" s="30" t="str">
        <x:v>有可对应条目</x:v>
      </x:c>
      <x:c r="P489" s="36" t="n">
        <x:v>5760</x:v>
      </x:c>
      <x:c r="Q489" s="39" t="n">
        <x:v>0.14554973821989528</x:v>
      </x:c>
      <x:c r="R489" s="33" t="str">
        <x:v>有</x:v>
      </x:c>
      <x:c r="S489" s="42" t="str">
        <x:v>无</x:v>
      </x:c>
      <x:c r="T489" s="33" t="n">
        <x:v>74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有可对应条目</x:v>
      </x:c>
      <x:c r="P491" s="36" t="n">
        <x:v>5783</x:v>
      </x:c>
      <x:c r="Q491" s="39" t="n">
        <x:v>0.18712680902742637</x:v>
      </x:c>
      <x:c r="R491" s="33" t="str">
        <x:v>有</x:v>
      </x:c>
      <x:c r="S491" s="42" t="str">
        <x:v>有</x:v>
      </x:c>
      <x:c r="T491" s="33" t="n">
        <x:v>91</x:v>
      </x:c>
      <x:c r="U491" s="27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有可对应条目</x:v>
      </x:c>
      <x:c r="P492" s="36" t="n">
        <x:v>5784</x:v>
      </x:c>
      <x:c r="Q492" s="39" t="n">
        <x:v>0.08534946236559139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Anima Yell!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高空训练与失误风险、恐高与比赛压力、旧队友冲突、未成年学生计划向年长女性家庭教师告白。</x:v>
      </x:c>
      <x:c r="O493" s="30" t="str">
        <x:v>有可对应条目</x:v>
      </x:c>
      <x:c r="P493" s="36" t="n">
        <x:v>5798</x:v>
      </x:c>
      <x:c r="Q493" s="39" t="n">
        <x:v>0.10375203915171288</x:v>
      </x:c>
      <x:c r="R493" s="33" t="str">
        <x:v>有</x:v>
      </x:c>
      <x:c r="S493" s="42" t="str">
        <x:v>无</x:v>
      </x:c>
      <x:c r="T493" s="33" t="n">
        <x:v>70</x:v>
      </x:c>
      <x:c r="U493" s="27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有可对应条目</x:v>
      </x:c>
      <x:c r="P494" s="36" t="n">
        <x:v>5807</x:v>
      </x:c>
      <x:c r="Q494" s="39" t="n">
        <x:v>0.06685768863419293</x:v>
      </x:c>
      <x:c r="R494" s="33" t="str">
        <x:v>有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5814</x:v>
      </x:c>
      <x:c r="Q495" s="39" t="n">
        <x:v>0.07056345444971038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5818</x:v>
      </x:c>
      <x:c r="Q496" s="39" t="n">
        <x:v>0.07169369017386208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5825</x:v>
      </x:c>
      <x:c r="Q497" s="39" t="n">
        <x:v>0.13060817547357925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5834</x:v>
      </x:c>
      <x:c r="Q498" s="39" t="n">
        <x:v>0.11485451761102604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5854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5870</x:v>
      </x:c>
      <x:c r="Q500" s="39" t="n">
        <x:v>0.13510019392372333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5876</x:v>
      </x:c>
      <x:c r="Q501" s="39" t="n">
        <x:v>0.09728682170542635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0.2142643092598142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0.10834593702736148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5920</x:v>
      </x:c>
      <x:c r="Q504" s="39" t="n">
        <x:v>0.08760980120203421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5926</x:v>
      </x:c>
      <x:c r="Q505" s="39" t="n">
        <x:v>0.10082578582844966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爆音少女!!</x:v>
      </x:c>
      <x:c r="B506" s="30" t="str">
        <x:v>主线</x:v>
      </x:c>
      <x:c r="C506" s="30" t="str">
        <x:v>文类内百合</x:v>
      </x:c>
      <x:c r="D506" s="30" t="str">
        <x:v>局部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摩托车风险、服务性展示、酒后越界言谈与师生权力差。</x:v>
      </x:c>
      <x:c r="O506" s="30" t="str">
        <x:v>有可对应条目</x:v>
      </x:c>
      <x:c r="P506" s="36" t="n">
        <x:v>5935</x:v>
      </x:c>
      <x:c r="Q506" s="39" t="n">
        <x:v>0.07665847665847667</x:v>
      </x:c>
      <x:c r="R506" s="33" t="str">
        <x:v>有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BanG Dream!</x:v>
      </x:c>
      <x:c r="B507" s="30" t="str">
        <x:v>主线</x:v>
      </x:c>
      <x:c r="C507" s="30" t="str">
        <x:v>文类内百合</x:v>
      </x:c>
      <x:c r="D507" s="30" t="str">
        <x:v>缺席</x:v>
      </x:c>
      <x:c r="E507" s="30" t="str">
        <x:v>非恋爱</x:v>
      </x:c>
      <x:c r="F507" s="30" t="str">
        <x:v>多组异质关系</x:v>
      </x:c>
      <x:c r="G507" s="30" t="str">
        <x:v>范围内没有性取向身份依据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舞台失误、同伴压力、家庭责任与现场演出竞争。</x:v>
      </x:c>
      <x:c r="O507" s="30" t="str">
        <x:v>有可对应条目</x:v>
      </x:c>
      <x:c r="P507" s="36" t="n">
        <x:v>5938</x:v>
      </x:c>
      <x:c r="Q507" s="39" t="n">
        <x:v>0.07292856515244706</x:v>
      </x:c>
      <x:c r="R507" s="33" t="str">
        <x:v>无</x:v>
      </x:c>
      <x:c r="S507" s="42" t="str">
        <x:v>无</x:v>
      </x:c>
      <x:c r="T507" s="33" t="n">
        <x:v>60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5969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有可对应条目</x:v>
      </x:c>
      <x:c r="P509" s="36" t="n">
        <x:v>5979</x:v>
      </x:c>
      <x:c r="Q509" s="39" t="n">
        <x:v>0.10448570266973845</x:v>
      </x:c>
      <x:c r="R509" s="33" t="str">
        <x:v>有</x:v>
      </x:c>
      <x:c r="S509" s="42" t="str">
        <x:v>有</x:v>
      </x:c>
      <x:c r="T509" s="33" t="n">
        <x:v>79</x:v>
      </x:c>
      <x:c r="U509" s="27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有可对应条目</x:v>
      </x:c>
      <x:c r="P510" s="36" t="n">
        <x:v>5994</x:v>
      </x:c>
      <x:c r="Q510" s="39" t="n">
        <x:v>0.02950329889207021</x:v>
      </x:c>
      <x:c r="R510" s="33" t="str">
        <x:v>无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6002</x:v>
      </x:c>
      <x:c r="Q511" s="39" t="n">
        <x:v>0.11984021304926765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6027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6030</x:v>
      </x:c>
      <x:c r="Q513" s="39" t="n">
        <x:v>0.08945581048620889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6065</x:v>
      </x:c>
      <x:c r="Q514" s="39" t="n">
        <x:v>0.09054788791300711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6073</x:v>
      </x:c>
      <x:c r="Q515" s="39" t="n">
        <x:v>0.07901907356948229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0.11022405356682977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6092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6124</x:v>
      </x:c>
      <x:c r="Q518" s="39" t="n">
        <x:v>0.10291150187373883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6146</x:v>
      </x:c>
      <x:c r="Q519" s="39" t="n">
        <x:v>0.017424975798644726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6149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6152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6212</x:v>
      </x:c>
      <x:c r="Q522" s="39" t="n">
        <x:v>0.18261335237415208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吸血鬼之爱</x:v>
      </x:c>
      <x:c r="B523" s="30" t="str">
        <x:v>主线</x:v>
      </x:c>
      <x:c r="C523" s="30" t="str">
        <x:v>文类内百合</x:v>
      </x:c>
      <x:c r="D523" s="30" t="str">
        <x:v>主线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是</x:v>
      </x:c>
      <x:c r="J523" s="30" t="str">
        <x:v>范围内版本、原作</x:v>
      </x:c>
      <x:c r="K523" s="30" t="str">
        <x:v>访谈／评论、故事／角色页、可见宣传</x:v>
      </x:c>
      <x:c r="L523" s="30" t="str">
        <x:v>正篇事实／强推断／读者解读</x:v>
      </x:c>
      <x:c r="M523" s="30" t="str">
        <x:v>副线</x:v>
      </x:c>
      <x:c r="N523" s="27" t="str">
        <x:v>吸血、献血、失血、身体改造、带性意味的吸血喜剧、身体边界笑点、催眠、成人研究权力、追捕暴力和家族强加婚约。</x:v>
      </x:c>
      <x:c r="O523" s="30" t="str">
        <x:v>有可对应条目</x:v>
      </x:c>
      <x:c r="P523" s="36" t="n">
        <x:v>6231</x:v>
      </x:c>
      <x:c r="Q523" s="39" t="n">
        <x:v>0.07383177570093458</x:v>
      </x:c>
      <x:c r="R523" s="33" t="str">
        <x:v>有</x:v>
      </x:c>
      <x:c r="S523" s="42" t="str">
        <x:v>有</x:v>
      </x:c>
      <x:c r="T523" s="33" t="n">
        <x:v>0</x:v>
      </x:c>
      <x:c r="U523" s="27" t="str">
        <x:v>无</x:v>
      </x:c>
    </x:row>
    <x:row r="524" ht="57" customHeight="1">
      <x:c r="A524" s="27" t="str">
        <x:v>BanG Dream! Episode of Roselia Ⅰ：约定</x:v>
      </x:c>
      <x:c r="B524" s="30" t="str">
        <x:v>主线</x:v>
      </x:c>
      <x:c r="C524" s="30" t="str">
        <x:v>文类内百合</x:v>
      </x:c>
      <x:c r="D524" s="30" t="str">
        <x:v>缺席</x:v>
      </x:c>
      <x:c r="E524" s="30" t="str">
        <x:v>非恋爱</x:v>
      </x:c>
      <x:c r="F524" s="30" t="str">
        <x:v>多组异质关系</x:v>
      </x:c>
      <x:c r="G524" s="30" t="str">
        <x:v>范围内没有性取向身份依据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出版渠道、可见宣传</x:v>
      </x:c>
      <x:c r="L524" s="30" t="str">
        <x:v>正篇事实／强推断／读者解读</x:v>
      </x:c>
      <x:c r="M524" s="30" t="str">
        <x:v>无</x:v>
      </x:c>
      <x:c r="N524" s="27" t="str">
        <x:v>竞赛与练习压力、严厉争执、能力差距与自我怀疑、姐妹比较压力、高强度舞台演出与较长音乐段落。</x:v>
      </x:c>
      <x:c r="O524" s="30" t="str">
        <x:v>有可对应条目</x:v>
      </x:c>
      <x:c r="P524" s="36" t="n">
        <x:v>6232</x:v>
      </x:c>
      <x:c r="Q524" s="39" t="n">
        <x:v>0.039473684210526314</x:v>
      </x:c>
      <x:c r="R524" s="33" t="str">
        <x:v>无</x:v>
      </x:c>
      <x:c r="S524" s="42" t="str">
        <x:v>无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6273</x:v>
      </x:c>
      <x:c r="Q525" s="39" t="n">
        <x:v>0.0903863432165319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6325</x:v>
      </x:c>
      <x:c r="Q526" s="39" t="n">
        <x:v>0.07585703865791393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6358</x:v>
      </x:c>
      <x:c r="Q527" s="39" t="n">
        <x:v>0.07161716171617162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6399</x:v>
      </x:c>
      <x:c r="Q528" s="39" t="n">
        <x:v>0.12223233242341523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6418</x:v>
      </x:c>
      <x:c r="Q529" s="39" t="n">
        <x:v>0.1150225133033156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6419</x:v>
      </x:c>
      <x:c r="Q530" s="39" t="n">
        <x:v>0.05599723470445904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6486</x:v>
      </x:c>
      <x:c r="Q531" s="39" t="n">
        <x:v>0.049917718047174986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6512</x:v>
      </x:c>
      <x:c r="Q532" s="39" t="n">
        <x:v>0.0426800748362956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6548</x:v>
      </x:c>
      <x:c r="Q533" s="39" t="n">
        <x:v>0.1510192362905541</x:v>
      </x:c>
      <x:c r="R533" s="33" t="str">
        <x:v>有</x:v>
      </x:c>
      <x:c r="S533" s="42" t="str">
        <x:v>无</x:v>
      </x:c>
      <x:c r="T533" s="33" t="n">
        <x:v>71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6611</x:v>
      </x:c>
      <x:c r="Q534" s="39" t="n">
        <x:v>0.1301607622048795</x:v>
      </x:c>
      <x:c r="R534" s="33" t="str">
        <x:v>无</x:v>
      </x:c>
      <x:c r="S534" s="42" t="str">
        <x:v>无</x:v>
      </x:c>
      <x:c r="T534" s="33" t="n">
        <x:v>36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6649</x:v>
      </x:c>
      <x:c r="Q535" s="39" t="n">
        <x:v>0.05514018691588785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6663</x:v>
      </x:c>
      <x:c r="Q536" s="39" t="n">
        <x:v>0.013849543594586088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打了300年的史莱姆，不知不觉就练到了满级</x:v>
      </x:c>
      <x:c r="B537" s="30" t="str">
        <x:v>主线</x:v>
      </x:c>
      <x:c r="C537" s="30" t="str">
        <x:v>文类内百合</x:v>
      </x:c>
      <x:c r="D537" s="30" t="str">
        <x:v>局部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异世界战斗、亲子式照料、家庭成员加入，以及对亲吻和交往的喜剧化玩笑。</x:v>
      </x:c>
      <x:c r="O537" s="30" t="str">
        <x:v>有可对应条目</x:v>
      </x:c>
      <x:c r="P537" s="36" t="n">
        <x:v>6672</x:v>
      </x:c>
      <x:c r="Q537" s="39" t="n">
        <x:v>0.09055425448868072</x:v>
      </x:c>
      <x:c r="R537" s="33" t="str">
        <x:v>有</x:v>
      </x:c>
      <x:c r="S537" s="42" t="str">
        <x:v>无</x:v>
      </x:c>
      <x:c r="T537" s="33" t="n">
        <x:v>51</x:v>
      </x:c>
      <x:c r="U537" s="27" t="str">
        <x:v>无</x:v>
      </x:c>
    </x:row>
    <x:row r="538" ht="57" customHeight="1">
      <x:c r="A538" s="27" t="str">
        <x:v>citrus～柑橘味香气～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明确女女交往关系</x:v>
      </x:c>
      <x:c r="F538" s="30" t="str">
        <x:v>多组异质关系</x:v>
      </x:c>
      <x:c r="G538" s="30" t="str">
        <x:v>只有明确关系／欲望事实，无身份自述</x:v>
      </x:c>
      <x:c r="H538" s="30" t="str">
        <x:v>是</x:v>
      </x:c>
      <x:c r="I538" s="30" t="str">
        <x:v>是</x:v>
      </x:c>
      <x:c r="J538" s="30" t="str">
        <x:v>范围内版本</x:v>
      </x:c>
      <x:c r="K538" s="30" t="str">
        <x:v>HTML 元数据、可见宣传</x:v>
      </x:c>
      <x:c r="L538" s="30" t="str">
        <x:v>正篇事实／强推断</x:v>
      </x:c>
      <x:c r="M538" s="30" t="str">
        <x:v>副线</x:v>
      </x:c>
      <x:c r="N538" s="27" t="str">
        <x:v>未事先询问或伴随挣扎声的接吻、许可不明、停止要求、师生权力利用、工具性婚约、照片胁迫、陌生成年人风险、继姐妹恋爱。</x:v>
      </x:c>
      <x:c r="O538" s="30" t="str">
        <x:v>有可对应条目</x:v>
      </x:c>
      <x:c r="P538" s="36" t="n">
        <x:v>6676</x:v>
      </x:c>
      <x:c r="Q538" s="39" t="n">
        <x:v>0.1860261462438231</x:v>
      </x:c>
      <x:c r="R538" s="33" t="str">
        <x:v>有</x:v>
      </x:c>
      <x:c r="S538" s="42" t="str">
        <x:v>有</x:v>
      </x:c>
      <x:c r="T538" s="33" t="n">
        <x:v>97</x:v>
      </x:c>
      <x:c r="U538" s="27" t="str">
        <x:v>有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6691</x:v>
      </x:c>
      <x:c r="Q539" s="39" t="n">
        <x:v>0.13712374581939799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6697</x:v>
      </x:c>
      <x:c r="Q540" s="39" t="n">
        <x:v>0.06025727826675694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6725</x:v>
      </x:c>
      <x:c r="Q541" s="39" t="n">
        <x:v>0.11304347826086956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6760</x:v>
      </x:c>
      <x:c r="Q542" s="39" t="n">
        <x:v>0.055150884495317375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6778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6790</x:v>
      </x:c>
      <x:c r="Q544" s="39" t="n">
        <x:v>0.042177361211247294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6901</x:v>
      </x:c>
      <x:c r="Q545" s="39" t="n">
        <x:v>0.0367170626349892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6908</x:v>
      </x:c>
      <x:c r="Q546" s="39" t="n">
        <x:v>0.1121898597626753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6940</x:v>
      </x:c>
      <x:c r="Q547" s="39" t="n">
        <x:v>0.09133709981167608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6952</x:v>
      </x:c>
      <x:c r="Q548" s="39" t="n">
        <x:v>0.08401084010840108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6956</x:v>
      </x:c>
      <x:c r="Q549" s="39" t="n">
        <x:v>0.05343889163780307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6994</x:v>
      </x:c>
      <x:c r="Q551" s="39" t="n">
        <x:v>0.08706952566601689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7002</x:v>
      </x:c>
      <x:c r="Q552" s="39" t="n">
        <x:v>0.025390625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0.08524590163934426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7045</x:v>
      </x:c>
      <x:c r="Q554" s="39" t="n">
        <x:v>0.02976394115634622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7052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7067</x:v>
      </x:c>
      <x:c r="Q556" s="39" t="n">
        <x:v>0.0495328750220342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7100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7112</x:v>
      </x:c>
      <x:c r="Q558" s="39" t="n">
        <x:v>0.040363472061850494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7122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0.07189934092270821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7171</x:v>
      </x:c>
      <x:c r="Q561" s="39" t="n">
        <x:v>0.03578066914498141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7177</x:v>
      </x:c>
      <x:c r="Q562" s="39" t="n">
        <x:v>0.14673022493669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7194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有可对应条目</x:v>
      </x:c>
      <x:c r="P564" s="36" t="n">
        <x:v>7270</x:v>
      </x:c>
      <x:c r="Q564" s="39" t="n">
        <x:v>0.11191239316239317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有可对应条目</x:v>
      </x:c>
      <x:c r="P565" s="36" t="n">
        <x:v>7280</x:v>
      </x:c>
      <x:c r="Q565" s="39" t="n">
        <x:v>0.1</x:v>
      </x:c>
      <x:c r="R565" s="33" t="str">
        <x:v>有</x:v>
      </x:c>
      <x:c r="S565" s="42" t="str">
        <x:v>无</x:v>
      </x:c>
      <x:c r="T565" s="33" t="n">
        <x:v>62</x:v>
      </x:c>
      <x:c r="U565" s="27" t="str">
        <x:v>无</x:v>
      </x:c>
    </x:row>
    <x:row r="566" ht="57" customHeight="1">
      <x:c r="A566" s="27" t="str">
        <x:v>女皇之刃 叛乱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故事／角色页、可见宣传</x:v>
      </x:c>
      <x:c r="L566" s="30" t="str">
        <x:v>正篇事实＋强推断＋读者解读</x:v>
      </x:c>
      <x:c r="M566" s="30" t="str">
        <x:v>副线</x:v>
      </x:c>
      <x:c r="N566" s="27" t="str">
        <x:v>成人向裸露与性化、战斗伤害、宗教审判、拘禁与越界接近、强制招募与实验、怪物威胁。</x:v>
      </x:c>
      <x:c r="O566" s="30" t="str">
        <x:v>有可对应条目</x:v>
      </x:c>
      <x:c r="P566" s="36" t="n">
        <x:v>7297</x:v>
      </x:c>
      <x:c r="Q566" s="39" t="n">
        <x:v>0.05035128805620609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美妙射击部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明确身份自述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</x:v>
      </x:c>
      <x:c r="L567" s="30" t="str">
        <x:v>正篇事实／强推断／读者解读</x:v>
      </x:c>
      <x:c r="M567" s="30" t="str">
        <x:v>无</x:v>
      </x:c>
      <x:c r="N567" s="27" t="str">
        <x:v>竞技射击与枪械意象、比赛压力与失利、社团争执、喜剧式求婚和恋爱话题</x:v>
      </x:c>
      <x:c r="O567" s="30" t="str">
        <x:v>有可对应条目</x:v>
      </x:c>
      <x:c r="P567" s="36" t="n">
        <x:v>7302</x:v>
      </x:c>
      <x:c r="Q567" s="39" t="n">
        <x:v>0.09341586944288126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7303</x:v>
      </x:c>
      <x:c r="Q568" s="39" t="n">
        <x:v>0.08045234248788369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7321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7324</x:v>
      </x:c>
      <x:c r="Q570" s="39" t="n">
        <x:v>0.0645933014354067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7352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7364</x:v>
      </x:c>
      <x:c r="Q572" s="39" t="n">
        <x:v>0.09540229885057472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0.17421124828532236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0.11487303506650544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7422</x:v>
      </x:c>
      <x:c r="Q575" s="39" t="n">
        <x:v>0.02884742622733889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7430</x:v>
      </x:c>
      <x:c r="Q576" s="39" t="n">
        <x:v>0.03777777777777778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7488</x:v>
      </x:c>
      <x:c r="Q577" s="39" t="n">
        <x:v>0.06488659201837496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7493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7530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噬魂师NOT！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潜在恋爱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</x:v>
      </x:c>
      <x:c r="L580" s="30" t="str">
        <x:v>正篇事实／强推断／读者解读</x:v>
      </x:c>
      <x:c r="M580" s="30" t="str">
        <x:v>副线</x:v>
      </x:c>
      <x:c r="N580" s="27" t="str">
        <x:v>校园战斗、超自然威胁、受伤与精神控制、女子宿舍性化笑料、嫉妒与搭档选择压力、局部异性心动</x:v>
      </x:c>
      <x:c r="O580" s="30" t="str">
        <x:v>有可对应条目</x:v>
      </x:c>
      <x:c r="P580" s="36" t="n">
        <x:v>7539</x:v>
      </x:c>
      <x:c r="Q580" s="39" t="n">
        <x:v>0.08923569427771108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有可对应条目</x:v>
      </x:c>
      <x:c r="P581" s="36" t="n">
        <x:v>7541</x:v>
      </x:c>
      <x:c r="Q581" s="39" t="n">
        <x:v>0.14501679731243</x:v>
      </x:c>
      <x:c r="R581" s="33" t="str">
        <x:v>有</x:v>
      </x:c>
      <x:c r="S581" s="42" t="str">
        <x:v>无</x:v>
      </x:c>
      <x:c r="T581" s="33" t="n">
        <x:v>87</x:v>
      </x:c>
      <x:c r="U581" s="27" t="str">
        <x:v>无</x:v>
      </x:c>
    </x:row>
    <x:row r="582" ht="57" customHeight="1">
      <x:c r="A582" s="27" t="str">
        <x:v>漫画少女</x:v>
      </x:c>
      <x:c r="B582" s="30" t="str">
        <x:v>主线</x:v>
      </x:c>
      <x:c r="C582" s="30" t="str">
        <x:v>文类内百合</x:v>
      </x:c>
      <x:c r="D582" s="30" t="str">
        <x:v>缺席</x:v>
      </x:c>
      <x:c r="E582" s="30" t="str">
        <x:v>非恋爱</x:v>
      </x:c>
      <x:c r="F582" s="30" t="str">
        <x:v>多组异质关系</x:v>
      </x:c>
      <x:c r="G582" s="30" t="str">
        <x:v>范围内没有性取向身份依据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可见宣传</x:v>
      </x:c>
      <x:c r="L582" s="30" t="str">
        <x:v>正篇事实、读者解读</x:v>
      </x:c>
      <x:c r="M582" s="30" t="str">
        <x:v>无</x:v>
      </x:c>
      <x:c r="N582" s="27" t="str">
        <x:v>短篇职场喜剧、写真与泳装、身体展示和裸照笑料、赶稿压力、漫画中的恋爱与成人题材玩笑。</x:v>
      </x:c>
      <x:c r="O582" s="30" t="str">
        <x:v>有可对应条目</x:v>
      </x:c>
      <x:c r="P582" s="36" t="n">
        <x:v>7544</x:v>
      </x:c>
      <x:c r="Q582" s="39" t="n">
        <x:v>0.05229993698802773</x:v>
      </x:c>
      <x:c r="R582" s="33" t="str">
        <x:v>有</x:v>
      </x:c>
      <x:c r="S582" s="42" t="str">
        <x:v>无</x:v>
      </x:c>
      <x:c r="T582" s="33" t="n">
        <x:v>0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7545</x:v>
      </x:c>
      <x:c r="Q583" s="39" t="n">
        <x:v>0.0563488016318205</x:v>
      </x:c>
      <x:c r="R583" s="33" t="str">
        <x:v>无</x:v>
      </x:c>
      <x:c r="S583" s="42" t="str">
        <x:v>无</x:v>
      </x:c>
      <x:c r="T583" s="33" t="n">
        <x:v>44</x:v>
      </x:c>
      <x:c r="U583" s="27" t="str">
        <x:v>无</x:v>
      </x:c>
    </x:row>
    <x:row r="584" ht="57" customHeight="1">
      <x:c r="A584" s="27" t="str">
        <x:v>突击莉莉 BOUQUET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—</x:v>
      </x:c>
      <x:c r="K584" s="30" t="str">
        <x:v>—</x:v>
      </x:c>
      <x:c r="L584" s="30" t="str">
        <x:v>正篇事实／强推断／读者解读</x:v>
      </x:c>
      <x:c r="M584" s="30" t="str">
        <x:v>无</x:v>
      </x:c>
      <x:c r="N584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4" s="30" t="str">
        <x:v>有可对应条目</x:v>
      </x:c>
      <x:c r="P584" s="36" t="n">
        <x:v>7619</x:v>
      </x:c>
      <x:c r="Q584" s="39" t="n">
        <x:v>0.1436111111111111</x:v>
      </x:c>
      <x:c r="R584" s="33" t="str">
        <x:v>有</x:v>
      </x:c>
      <x:c r="S584" s="42" t="str">
        <x:v>有</x:v>
      </x:c>
      <x:c r="T584" s="33" t="n">
        <x:v>83</x:v>
      </x:c>
      <x:c r="U584" s="27" t="str">
        <x:v>无</x:v>
      </x:c>
    </x:row>
    <x:row r="585" ht="57" customHeight="1">
      <x:c r="A585" s="27" t="str">
        <x:v>一骑当千</x:v>
      </x:c>
      <x:c r="B585" s="30" t="str">
        <x:v>重要副线</x:v>
      </x:c>
      <x:c r="C585" s="30" t="str">
        <x:v>文类外百合阅读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企划、范围内版本</x:v>
      </x:c>
      <x:c r="K585" s="30" t="str">
        <x:v>出版渠道、可见宣传</x:v>
      </x:c>
      <x:c r="L585" s="30" t="str">
        <x:v>正篇事实／强推断／读者解读</x:v>
      </x:c>
      <x:c r="M585" s="30" t="str">
        <x:v>并列</x:v>
      </x:c>
      <x:c r="N585" s="27" t="str">
        <x:v>裸露、爆衣、战败羞辱、格斗伤害、拷问、角色死亡、追随死亡意向、精神控制与命运强迫。</x:v>
      </x:c>
      <x:c r="O585" s="30" t="str">
        <x:v>有可对应条目</x:v>
      </x:c>
      <x:c r="P585" s="36" t="n">
        <x:v>7626</x:v>
      </x:c>
      <x:c r="Q585" s="39" t="n">
        <x:v>0.05230669265756985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美幸梦游仙境</x:v>
      </x:c>
      <x:c r="B586" s="30" t="str">
        <x:v>主线</x:v>
      </x:c>
      <x:c r="C586" s="30" t="str">
        <x:v>文类内百合</x:v>
      </x:c>
      <x:c r="D586" s="30" t="str">
        <x:v>主线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无</x:v>
      </x:c>
      <x:c r="N586" s="27" t="str">
        <x:v>高中生主角、裸露与性化笑料、持续拒绝、边界不对称、支配与胁迫场景</x:v>
      </x:c>
      <x:c r="O586" s="30" t="str">
        <x:v>有可对应条目</x:v>
      </x:c>
      <x:c r="P586" s="36" t="n">
        <x:v>7635</x:v>
      </x:c>
      <x:c r="Q586" s="39" t="n">
        <x:v>0.12038303693570451</x:v>
      </x:c>
      <x:c r="R586" s="33" t="str">
        <x:v>无</x:v>
      </x:c>
      <x:c r="S586" s="42" t="str">
        <x:v>有</x:v>
      </x:c>
      <x:c r="T586" s="33" t="n">
        <x:v>78</x:v>
      </x:c>
      <x:c r="U586" s="27" t="str">
        <x:v>有</x:v>
      </x:c>
    </x:row>
    <x:row r="587" ht="57" customHeight="1">
      <x:c r="A587" s="27" t="str">
        <x:v>鬼斩</x:v>
      </x:c>
      <x:c r="B587" s="30" t="str">
        <x:v>主线</x:v>
      </x:c>
      <x:c r="C587" s="30" t="str">
        <x:v>文类外百合阅读</x:v>
      </x:c>
      <x:c r="D587" s="30" t="str">
        <x:v>局部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出版渠道、故事／角色页、可见宣传</x:v>
      </x:c>
      <x:c r="L587" s="30" t="str">
        <x:v>正篇事实／强推断／读者解读</x:v>
      </x:c>
      <x:c r="M587" s="30" t="str">
        <x:v>副线</x:v>
      </x:c>
      <x:c r="N587" s="27" t="str">
        <x:v>超短篇战斗喜剧、夸张暴力、身体暴露、性暗示、饮酒笑料、男の娘与性别表现的喜剧化处理</x:v>
      </x:c>
      <x:c r="O587" s="30" t="str">
        <x:v>有可对应条目</x:v>
      </x:c>
      <x:c r="P587" s="36" t="n">
        <x:v>7647</x:v>
      </x:c>
      <x:c r="Q587" s="39" t="n">
        <x:v>0.05877803557617943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女武神驱动 美人鱼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访谈／评论、故事／角色页、可见宣传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成人向裸露与性化接触、以性刺激触发战斗、监禁与强迫风险、身体控制、创伤、暴力和权力不对等</x:v>
      </x:c>
      <x:c r="O588" s="30" t="str">
        <x:v>有可对应条目</x:v>
      </x:c>
      <x:c r="P588" s="36" t="n">
        <x:v>7664</x:v>
      </x:c>
      <x:c r="Q588" s="39" t="n">
        <x:v>0.14031971580817051</x:v>
      </x:c>
      <x:c r="R588" s="33" t="str">
        <x:v>有</x:v>
      </x:c>
      <x:c r="S588" s="42" t="str">
        <x:v>有</x:v>
      </x:c>
      <x:c r="T588" s="33" t="n">
        <x:v>94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7676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7688</x:v>
      </x:c>
      <x:c r="Q590" s="39" t="n">
        <x:v>0.08662741799831791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7707</x:v>
      </x:c>
      <x:c r="Q591" s="39" t="n">
        <x:v>0.050724637681159424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7712</x:v>
      </x:c>
      <x:c r="Q592" s="39" t="n">
        <x:v>0.11342734518700184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7771</x:v>
      </x:c>
      <x:c r="Q593" s="39" t="n">
        <x:v>0.0212708305107709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7798</x:v>
      </x:c>
      <x:c r="Q594" s="39" t="n">
        <x:v>0.04372958029655692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7799</x:v>
      </x:c>
      <x:c r="Q595" s="39" t="n">
        <x:v>0.0888476329399284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7802</x:v>
      </x:c>
      <x:c r="Q596" s="39" t="n">
        <x:v>0.06300034806822137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7831</x:v>
      </x:c>
      <x:c r="Q597" s="39" t="n">
        <x:v>0.051601423487544484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7842</x:v>
      </x:c>
      <x:c r="Q598" s="39" t="n">
        <x:v>0.032017075773746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有可对应条目</x:v>
      </x:c>
      <x:c r="P599" s="36" t="n">
        <x:v>7868</x:v>
      </x:c>
      <x:c r="Q599" s="39" t="n">
        <x:v>0.09076923076923077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有可对应条目</x:v>
      </x:c>
      <x:c r="P600" s="36" t="n">
        <x:v>7881</x:v>
      </x:c>
      <x:c r="Q600" s="39" t="n">
        <x:v>0.12442091330244871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7914</x:v>
      </x:c>
      <x:c r="Q601" s="39" t="n">
        <x:v>0.04630160550458716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7926</x:v>
      </x:c>
      <x:c r="Q602" s="39" t="n">
        <x:v>0.13953946073607557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7931</x:v>
      </x:c>
      <x:c r="Q603" s="39" t="n">
        <x:v>0.0838150289017341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0.04395604395604396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8020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魔法纪录 魔法少女小圆外传 2nd SEASON -觉醒前夜-</x:v>
      </x:c>
      <x:c r="B606" s="30" t="str">
        <x:v>主线</x:v>
      </x:c>
      <x:c r="C606" s="30" t="str">
        <x:v>文类内百合</x:v>
      </x:c>
      <x:c r="D606" s="30" t="str">
        <x:v>局部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正篇事实／强推断／读者解读</x:v>
      </x:c>
      <x:c r="M606" s="30" t="str">
        <x:v>无</x:v>
      </x:c>
      <x:c r="N606" s="27" t="str">
        <x:v>魔法战斗、死亡与失踪风险、悲伤与内疚、梦境和记忆操控、组织控制、强制招募、身份消除、创伤与牺牲。</x:v>
      </x:c>
      <x:c r="O606" s="30" t="str">
        <x:v>有可对应条目</x:v>
      </x:c>
      <x:c r="P606" s="36" t="n">
        <x:v>8063</x:v>
      </x:c>
      <x:c r="Q606" s="39" t="n">
        <x:v>0.0746571072319202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幻想玩偶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范围内版本、原作</x:v>
      </x:c>
      <x:c r="K607" s="30" t="str">
        <x:v>出版渠道、故事／角色页</x:v>
      </x:c>
      <x:c r="L607" s="30" t="str">
        <x:v>正篇事实＋强推断＋读者解读</x:v>
      </x:c>
      <x:c r="M607" s="30" t="str">
        <x:v>无</x:v>
      </x:c>
      <x:c r="N607" s="27" t="str">
        <x:v>未成年角色参与幻想战斗、主人—Doll 权力不对等、人工人格与记忆控制、被遗弃经历、服务性服装与性化喜剧。</x:v>
      </x:c>
      <x:c r="O607" s="30" t="str">
        <x:v>有可对应条目</x:v>
      </x:c>
      <x:c r="P607" s="36" t="n">
        <x:v>8069</x:v>
      </x:c>
      <x:c r="Q607" s="39" t="n">
        <x:v>0.10027662517289074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0.04465161923454367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8093</x:v>
      </x:c>
      <x:c r="Q609" s="39" t="n">
        <x:v>0.10553129548762737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8146</x:v>
      </x:c>
      <x:c r="Q610" s="39" t="n">
        <x:v>0.08679858522129816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8204</x:v>
      </x:c>
      <x:c r="Q611" s="39" t="n">
        <x:v>0.051086956521739134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8212</x:v>
      </x:c>
      <x:c r="Q612" s="39" t="n">
        <x:v>0.11123110151187905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8219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8226</x:v>
      </x:c>
      <x:c r="Q614" s="39" t="n">
        <x:v>0.07725694444444445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8269</x:v>
      </x:c>
      <x:c r="Q615" s="39" t="n">
        <x:v>0.12077922077922078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8293</x:v>
      </x:c>
      <x:c r="Q616" s="39" t="n">
        <x:v>0.09422694094226941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8315</x:v>
      </x:c>
      <x:c r="Q617" s="39" t="n">
        <x:v>0.06375442739079103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8345</x:v>
      </x:c>
      <x:c r="Q618" s="39" t="n">
        <x:v>0.07339036470058533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8379</x:v>
      </x:c>
      <x:c r="Q619" s="39" t="n">
        <x:v>0.10838106722942417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8385</x:v>
      </x:c>
      <x:c r="Q620" s="39" t="n">
        <x:v>0.04522613065326633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8406</x:v>
      </x:c>
      <x:c r="Q621" s="39" t="n">
        <x:v>0.09781684150836405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8448</x:v>
      </x:c>
      <x:c r="Q622" s="39" t="n">
        <x:v>0.04445908117898897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8469</x:v>
      </x:c>
      <x:c r="Q623" s="39" t="n">
        <x:v>0.05949197860962567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8482</x:v>
      </x:c>
      <x:c r="Q624" s="39" t="n">
        <x:v>0.05331088664421998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8492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8508</x:v>
      </x:c>
      <x:c r="Q626" s="39" t="n">
        <x:v>0.049160379654417136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8517</x:v>
      </x:c>
      <x:c r="Q627" s="39" t="n">
        <x:v>0.009142318567389255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8563</x:v>
      </x:c>
      <x:c r="Q628" s="39" t="n">
        <x:v>0.05694865435840911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8577</x:v>
      </x:c>
      <x:c r="Q629" s="39" t="n">
        <x:v>0.08967032967032967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8580</x:v>
      </x:c>
      <x:c r="Q630" s="39" t="n">
        <x:v>0.12254641909814323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8583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8621</x:v>
      </x:c>
      <x:c r="Q632" s="39" t="n">
        <x:v>0.07021604938271606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8629</x:v>
      </x:c>
      <x:c r="Q633" s="39" t="n">
        <x:v>0.025326714618579677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8654</x:v>
      </x:c>
      <x:c r="Q634" s="39" t="n">
        <x:v>0.07015902712815715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8663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8675</x:v>
      </x:c>
      <x:c r="Q636" s="39" t="n">
        <x:v>0.034903047091412745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8678</x:v>
      </x:c>
      <x:c r="Q637" s="39" t="n">
        <x:v>0.09357454772301933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8682</x:v>
      </x:c>
      <x:c r="Q638" s="39" t="n">
        <x:v>0.0991045682197602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8697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8723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8740</x:v>
      </x:c>
      <x:c r="Q641" s="39" t="n">
        <x:v>0.011667894866126259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8770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立花馆恋爱三角铃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是</x:v>
      </x:c>
      <x:c r="I643" s="30" t="str">
        <x:v>是</x:v>
      </x:c>
      <x:c r="J643" s="30" t="str">
        <x:v>范围内版本、原作</x:v>
      </x:c>
      <x:c r="K643" s="30" t="str">
        <x:v>出版渠道、故事／角色页、可见宣传</x:v>
      </x:c>
      <x:c r="L643" s="30" t="str">
        <x:v>正篇事实／强推断</x:v>
      </x:c>
      <x:c r="M643" s="30" t="str">
        <x:v>无</x:v>
      </x:c>
      <x:c r="N643" s="27" t="str">
        <x:v>裸露、性化身体笑料、偷窥、未经同意的身体接触、后宫式争夺、年龄与权力差异</x:v>
      </x:c>
      <x:c r="O643" s="30" t="str">
        <x:v>有可对应条目</x:v>
      </x:c>
      <x:c r="P643" s="36" t="n">
        <x:v>8780</x:v>
      </x:c>
      <x:c r="Q643" s="39" t="n">
        <x:v>0.15535372848948376</x:v>
      </x:c>
      <x:c r="R643" s="33" t="str">
        <x:v>有</x:v>
      </x:c>
      <x:c r="S643" s="42" t="str">
        <x:v>有</x:v>
      </x:c>
      <x:c r="T643" s="33" t="n">
        <x:v>93</x:v>
      </x:c>
      <x:c r="U643" s="27" t="str">
        <x:v>有</x:v>
      </x:c>
    </x:row>
    <x:row r="644" ht="57" customHeight="1">
      <x:c r="A644" s="27" t="str">
        <x:v>悦楽的胤 THE ANIMATION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所核未见</x:v>
      </x:c>
      <x:c r="I644" s="30" t="str">
        <x:v>所核未见</x:v>
      </x:c>
      <x:c r="J644" s="30" t="str">
        <x:v>—</x:v>
      </x:c>
      <x:c r="K644" s="30" t="str">
        <x:v>—</x:v>
      </x:c>
      <x:c r="L644" s="30" t="str">
        <x:v>正篇事实／强推断</x:v>
      </x:c>
      <x:c r="M644" s="30" t="str">
        <x:v>无</x:v>
      </x:c>
      <x:c r="N644" s="27" t="str">
        <x:v>成人向露骨性主题、触手寄生、身体控制、强迫、威胁、性暴力与同意边界问题。</x:v>
      </x:c>
      <x:c r="O644" s="30" t="str">
        <x:v>有可对应条目</x:v>
      </x:c>
      <x:c r="P644" s="36" t="n">
        <x:v>8782</x:v>
      </x:c>
      <x:c r="Q644" s="39" t="n">
        <x:v>0.14715189873417722</x:v>
      </x:c>
      <x:c r="R644" s="33" t="str">
        <x:v>有</x:v>
      </x:c>
      <x:c r="S644" s="42" t="str">
        <x:v>无可对应条目</x:v>
      </x:c>
      <x:c r="T644" s="33" t="n">
        <x:v>60</x:v>
      </x:c>
      <x:c r="U644" s="27" t="str">
        <x:v>无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8809</x:v>
      </x:c>
      <x:c r="Q645" s="39" t="n">
        <x:v>0.04956157072054899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8851</x:v>
      </x:c>
      <x:c r="Q646" s="39" t="n">
        <x:v>0.15071111790793698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8896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8910</x:v>
      </x:c>
      <x:c r="Q648" s="39" t="n">
        <x:v>0.07272275999007198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8926</x:v>
      </x:c>
      <x:c r="Q649" s="39" t="n">
        <x:v>0.11504424778761062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9010</x:v>
      </x:c>
      <x:c r="Q650" s="39" t="n">
        <x:v>0.0672129332299856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9015</x:v>
      </x:c>
      <x:c r="Q651" s="39" t="n">
        <x:v>0.13361032145200089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9044</x:v>
      </x:c>
      <x:c r="Q652" s="39" t="n">
        <x:v>0.1069182389937107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9056</x:v>
      </x:c>
      <x:c r="Q653" s="39" t="n">
        <x:v>0.13372093023255813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9096</x:v>
      </x:c>
      <x:c r="Q654" s="39" t="n">
        <x:v>0.08745684695051784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9110</x:v>
      </x:c>
      <x:c r="Q655" s="39" t="n">
        <x:v>0.07191568505889646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魔法少女网站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副线</x:v>
      </x:c>
      <x:c r="N656" s="27" t="str">
        <x:v>长期霸凌与家暴、死亡意念与自伤、性暴力威胁、血腥杀伤、操纵与洗脑。</x:v>
      </x:c>
      <x:c r="O656" s="30" t="str">
        <x:v>有可对应条目</x:v>
      </x:c>
      <x:c r="P656" s="36" t="n">
        <x:v>9116</x:v>
      </x:c>
      <x:c r="Q656" s="39" t="n">
        <x:v>0.08300543376428705</x:v>
      </x:c>
      <x:c r="R656" s="33" t="str">
        <x:v>无</x:v>
      </x:c>
      <x:c r="S656" s="42" t="str">
        <x:v>无</x:v>
      </x:c>
      <x:c r="T656" s="33" t="n">
        <x:v>57</x:v>
      </x:c>
      <x:c r="U656" s="27" t="str">
        <x:v>无</x:v>
      </x:c>
    </x:row>
    <x:row r="657" ht="57" customHeight="1">
      <x:c r="A657" s="27" t="str">
        <x:v>绽放的阿尔斯诺特利亚</x:v>
      </x:c>
      <x:c r="B657" s="30" t="str">
        <x:v>主线</x:v>
      </x:c>
      <x:c r="C657" s="30" t="str">
        <x:v>文类内百合</x:v>
      </x:c>
      <x:c r="D657" s="30" t="str">
        <x:v>缺席</x:v>
      </x:c>
      <x:c r="E657" s="30" t="str">
        <x:v>非恋爱</x:v>
      </x:c>
      <x:c r="F657" s="30" t="str">
        <x:v>多组异质关系</x:v>
      </x:c>
      <x:c r="G657" s="30" t="str">
        <x:v>范围内没有性取向身份依据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魔法实验、虫害、受伤、骑士暴力、后半段黑暗惊悚与未解世界观危机。</x:v>
      </x:c>
      <x:c r="O657" s="30" t="str">
        <x:v>有可对应条目</x:v>
      </x:c>
      <x:c r="P657" s="36" t="n">
        <x:v>9118</x:v>
      </x:c>
      <x:c r="Q657" s="39" t="n">
        <x:v>0.07335907335907337</x:v>
      </x:c>
      <x:c r="R657" s="33" t="str">
        <x:v>有</x:v>
      </x:c>
      <x:c r="S657" s="42" t="str">
        <x:v>无</x:v>
      </x:c>
      <x:c r="T657" s="33" t="n">
        <x:v>0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9171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9191</x:v>
      </x:c>
      <x:c r="Q659" s="39" t="n">
        <x:v>0.04196709188389721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有可对应条目</x:v>
      </x:c>
      <x:c r="P660" s="36" t="n">
        <x:v>9199</x:v>
      </x:c>
      <x:c r="Q660" s="39" t="n">
        <x:v>0.07676490747087046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有可对应条目</x:v>
      </x:c>
      <x:c r="P661" s="36" t="n">
        <x:v>9200</x:v>
      </x:c>
      <x:c r="Q661" s="39" t="n">
        <x:v>0.06116207951070336</x:v>
      </x:c>
      <x:c r="R661" s="33" t="str">
        <x:v>无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9240</x:v>
      </x:c>
      <x:c r="Q662" s="39" t="n">
        <x:v>0.07464607464607464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9256</x:v>
      </x:c>
      <x:c r="Q663" s="39" t="n">
        <x:v>0.11959654178674352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9331</x:v>
      </x:c>
      <x:c r="Q664" s="39" t="n">
        <x:v>0.018449120784087635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9346</x:v>
      </x:c>
      <x:c r="Q665" s="39" t="n">
        <x:v>0.07082371054657428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9354</x:v>
      </x:c>
      <x:c r="Q666" s="39" t="n">
        <x:v>0.0669671603348358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9399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9400</x:v>
      </x:c>
      <x:c r="Q668" s="39" t="n">
        <x:v>0.06846240179573512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9446</x:v>
      </x:c>
      <x:c r="Q669" s="39" t="n">
        <x:v>0.04447115384615385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9470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9495</x:v>
      </x:c>
      <x:c r="Q671" s="39" t="n">
        <x:v>0.10417121642279974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9511</x:v>
      </x:c>
      <x:c r="Q672" s="39" t="n">
        <x:v>0.01153450051493306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9514</x:v>
      </x:c>
      <x:c r="Q673" s="39" t="n">
        <x:v>0.05194805194805195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9551</x:v>
      </x:c>
      <x:c r="Q674" s="39" t="n">
        <x:v>0.03125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9578</x:v>
      </x:c>
      <x:c r="Q675" s="39" t="n">
        <x:v>0.0178359096313912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9594</x:v>
      </x:c>
      <x:c r="Q676" s="39" t="n">
        <x:v>0.058902275769745646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9607</x:v>
      </x:c>
      <x:c r="Q677" s="39" t="n">
        <x:v>0.0860784489722646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9612</x:v>
      </x:c>
      <x:c r="Q678" s="39" t="n">
        <x:v>0.03871987356775978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9691</x:v>
      </x:c>
      <x:c r="Q679" s="39" t="n">
        <x:v>0.01577429241031188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9724</x:v>
      </x:c>
      <x:c r="Q680" s="39" t="n">
        <x:v>0.07338394294916034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9752</x:v>
      </x:c>
      <x:c r="Q681" s="39" t="n">
        <x:v>0.10975731548986317</x:v>
      </x:c>
      <x:c r="R681" s="33" t="str">
        <x:v>有</x:v>
      </x:c>
      <x:c r="S681" s="42" t="str">
        <x:v>无</x:v>
      </x:c>
      <x:c r="T681" s="33" t="n">
        <x:v>58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9793</x:v>
      </x:c>
      <x:c r="Q682" s="39" t="n">
        <x:v>0.03996634413125789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9826</x:v>
      </x:c>
      <x:c r="Q683" s="39" t="n">
        <x:v>0.09572072072072071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9857</x:v>
      </x:c>
      <x:c r="Q684" s="39" t="n">
        <x:v>0.04946564885496183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9892</x:v>
      </x:c>
      <x:c r="Q685" s="39" t="n">
        <x:v>0.06424025457438345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9894</x:v>
      </x:c>
      <x:c r="Q686" s="39" t="n">
        <x:v>0.028169014084507043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9896</x:v>
      </x:c>
      <x:c r="Q687" s="39" t="n">
        <x:v>0.08494533221194281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9904</x:v>
      </x:c>
      <x:c r="Q688" s="39" t="n">
        <x:v>0.03307244440202348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9926</x:v>
      </x:c>
      <x:c r="Q689" s="39" t="n">
        <x:v>0.037907100907634814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9939</x:v>
      </x:c>
      <x:c r="Q690" s="39" t="n">
        <x:v>0.03400143163922691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9941</x:v>
      </x:c>
      <x:c r="Q691" s="39" t="n">
        <x:v>0.04134697357203751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9942</x:v>
      </x:c>
      <x:c r="Q692" s="39" t="n">
        <x:v>0.06948937965958644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10029</x:v>
      </x:c>
      <x:c r="Q693" s="39" t="n">
        <x:v>0.11511663132384126</x:v>
      </x:c>
      <x:c r="R693" s="33" t="str">
        <x:v>有</x:v>
      </x:c>
      <x:c r="S693" s="42" t="str">
        <x:v>有</x:v>
      </x:c>
      <x:c r="T693" s="33" t="n">
        <x:v>86</x:v>
      </x:c>
      <x:c r="U693" s="27" t="str">
        <x:v>有</x:v>
      </x:c>
    </x:row>
    <x:row r="694" ht="57" customHeight="1">
      <x:c r="A694" s="27" t="str">
        <x:v>某天早上变成人头麦克风的我君的人生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潜在恋爱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故事／角色页、可见宣传</x:v>
      </x:c>
      <x:c r="L694" s="30" t="str">
        <x:v>正篇事实、强推断</x:v>
      </x:c>
      <x:c r="M694" s="30" t="str">
        <x:v>无</x:v>
      </x:c>
      <x:c r="N694" s="27" t="str">
        <x:v>成人叙述视角、性暗示笑料、师生权力差与单向性化示好</x:v>
      </x:c>
      <x:c r="O694" s="30" t="str">
        <x:v>有可对应条目</x:v>
      </x:c>
      <x:c r="P694" s="36" t="n">
        <x:v>10082</x:v>
      </x:c>
      <x:c r="Q694" s="39" t="n">
        <x:v>0.08340425531914894</x:v>
      </x:c>
      <x:c r="R694" s="33" t="str">
        <x:v>有</x:v>
      </x:c>
      <x:c r="S694" s="42" t="str">
        <x:v>无</x:v>
      </x:c>
      <x:c r="T694" s="33" t="n">
        <x:v>50</x:v>
      </x:c>
      <x:c r="U694" s="27" t="str">
        <x:v>无</x:v>
      </x:c>
    </x:row>
    <x:row r="695" ht="57" customHeight="1">
      <x:c r="A695" s="27" t="str">
        <x:v>捏造陷阱 -NTR-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明确女女恋爱欲望</x:v>
      </x:c>
      <x:c r="F695" s="30" t="str">
        <x:v>多组异质关系</x:v>
      </x:c>
      <x:c r="G695" s="30" t="str">
        <x:v>只有明确关系／欲望事实，无身份自述</x:v>
      </x:c>
      <x:c r="H695" s="30" t="str">
        <x:v>是</x:v>
      </x:c>
      <x:c r="I695" s="30" t="str">
        <x:v>是</x:v>
      </x:c>
      <x:c r="J695" s="30" t="str">
        <x:v>范围内版本、原作</x:v>
      </x:c>
      <x:c r="K695" s="30" t="str">
        <x:v>HTML 元数据、故事／角色页</x:v>
      </x:c>
      <x:c r="L695" s="30" t="str">
        <x:v>正篇事实／强推断／读者解读</x:v>
      </x:c>
      <x:c r="M695" s="30" t="str">
        <x:v>并列</x:v>
      </x:c>
      <x:c r="N695" s="27" t="str">
        <x:v>亲密接触、操控、暴力、嫉妒与情绪伤害</x:v>
      </x:c>
      <x:c r="O695" s="30" t="str">
        <x:v>有可对应条目</x:v>
      </x:c>
      <x:c r="P695" s="36" t="n">
        <x:v>10084</x:v>
      </x:c>
      <x:c r="Q695" s="39" t="n">
        <x:v>0.13717805151175813</x:v>
      </x:c>
      <x:c r="R695" s="33" t="str">
        <x:v>有</x:v>
      </x:c>
      <x:c r="S695" s="42" t="str">
        <x:v>有</x:v>
      </x:c>
      <x:c r="T695" s="33" t="n">
        <x:v>89</x:v>
      </x:c>
      <x:c r="U695" s="27" t="str">
        <x:v>有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10094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10124</x:v>
      </x:c>
      <x:c r="Q697" s="39" t="n">
        <x:v>0.08613098514034122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10152</x:v>
      </x:c>
      <x:c r="Q698" s="39" t="n">
        <x:v>0.05307994757536042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10161</x:v>
      </x:c>
      <x:c r="Q699" s="39" t="n">
        <x:v>0.17493936944219887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10175</x:v>
      </x:c>
      <x:c r="Q700" s="39" t="n">
        <x:v>0.08961693548387097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b0416c6f35448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比较快照日期：2026-08-14。AniList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2026-08-14</x:v>
      </x:c>
    </x:row>
    <x:row r="23" ht="31.5" customHeight="1">
      <x:c r="A23" s="27" t="str">
        <x:v>数据库源 SHA-256</x:v>
      </x:c>
      <x:c r="B23" s="27" t="str">
        <x:v>22fbd76d76362a899adef377ec688d28528e2cd2009cbe9a8141ba6696c4df77</x:v>
      </x:c>
    </x:row>
    <x:row r="24" ht="31.5" customHeight="1">
      <x:c r="A24" s="27" t="str">
        <x:v>发布计划 SHA-256</x:v>
      </x:c>
      <x:c r="B24" s="27" t="str">
        <x:v>21bc9af39bbfc4f362ff9be15fc1472f560677535fec1c716f1b48bf1f9a6f65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