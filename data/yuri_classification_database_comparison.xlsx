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409152c4024e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666c9ee77f52460f"/>
    <x:sheet xmlns:r="http://schemas.openxmlformats.org/officeDocument/2006/relationships" name="说明与来源" sheetId="2" r:id="R6709852dac5145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a432933df742be" /><Relationship Type="http://schemas.openxmlformats.org/officeDocument/2006/relationships/theme" Target="/xl/theme/theme1.xml" Id="R5344b12e30ad4d75" /><Relationship Type="http://schemas.openxmlformats.org/officeDocument/2006/relationships/sharedStrings" Target="/xl/sharedStrings.xml" Id="R1151f59fe8a14714" /><Relationship Type="http://schemas.openxmlformats.org/officeDocument/2006/relationships/worksheet" Target="/xl/worksheets/sheet1.xml" Id="R666c9ee77f52460f" /><Relationship Type="http://schemas.openxmlformats.org/officeDocument/2006/relationships/worksheet" Target="/xl/worksheets/sheet2.xml" Id="R6709852dac51457f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493638b4a77483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2026-08-08。分类字段来自正篇材料的分层判断；官方证据与四个数据库字段用于对照，不是对作品关系的投票或裁决。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作品分类</x:v>
      </x:c>
      <x:c r="D5" s="30" t="str">
        <x:v>缺席</x:v>
      </x:c>
      <x:c r="E5" s="30" t="str">
        <x:v>非恋爱</x:v>
      </x:c>
      <x:c r="F5" s="30" t="str">
        <x:v>单一主要关系记录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无成线情节，仅有零散异性恋玩笑或旁及信息</x:v>
      </x:c>
      <x:c r="N5" s="27" t="str">
        <x:v>工作压力、过劳、职业挫折、制作事故、言语冲突与饮酒场面；无画面复核。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作品分类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曾经不告而别造成离别恐惧；一方把继续演奏和升学选择绑定于留在另一方身边；才能比较、自我贬低、哭泣与关系冲突。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作品分类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作品分类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正篇事实＋强推断＋读者解读</x:v>
      </x:c>
      <x:c r="M8" s="30" t="str">
        <x:v>无主导男性恋爱线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作品分类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作品分类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副线（多条明确男女暗恋喜剧）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作品分类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副线；丽奈对成年教师的单方爱恋明确出现</x:v>
      </x:c>
      <x:c r="N11" s="27" t="str">
        <x:v>未成年学生对成年教师的单方爱恋、失恋与拒绝、社团选拔冲突、关系依赖、家庭离别和竞赛压力。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作品分类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成年配角的往事与笑料副线</x:v>
      </x:c>
      <x:c r="N12" s="27" t="str">
        <x:v>毕业与暂时分离、社团与学业压力、成人教师让学生穿表演服装并以身体尴尬制造笑料、舞台剧角色扮演中的恋爱台词、将暧昧词语用于玩笑或歌词。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作品分类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正篇事实＋强推断＋读者解读</x:v>
      </x:c>
      <x:c r="M13" s="30" t="str">
        <x:v>并列且对权力批判不可删除</x:v>
      </x:c>
      <x:c r="N13" s="27" t="str">
        <x:v>校园年龄角色卷入成人性权力结构、诱骗与同意不对等、兄妹乱伦性虐待、占有与亲密暴力、受害者自责及厌女污名、身体和心理暴力、自杀念头与坠落意象。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作品分类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作品分类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作品分类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多次腿部骨折与赛场伤病、长期复健和复发恐惧、竞技压力、失去奔跑未来的痛苦。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作品分类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所核文本未提供实际对象或情节证据，仅有泛指男友笑话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作品分类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正篇事实＋读者解读</x:v>
      </x:c>
      <x:c r="M18" s="30" t="str">
        <x:v>副线</x:v>
      </x:c>
      <x:c r="N18" s="27" t="str">
        <x:v>未成年偶像的泳装／写真／身体话题与婚礼模特工作，娱乐行业过劳和排期压力，造谣、偷拍与事业破坏，儿童照护与家庭经济压力，父母离异、手足死亡与创伤反应，舞台事故和住院，性别角色期待。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作品分类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作品分类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学校存续危机、战车竞技险情、竞争，以及局部异性恋笑料。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作品分类</x:v>
      </x:c>
      <x:c r="D21" s="30" t="str">
        <x:v>缺席</x:v>
      </x:c>
      <x:c r="E21" s="30" t="str">
        <x:v>非恋爱</x:v>
      </x:c>
      <x:c r="F21" s="30" t="str">
        <x:v>单一主要关系记录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副线（明确异性婚姻与回忆）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作品分类</x:v>
      </x:c>
      <x:c r="D22" s="30" t="str">
        <x:v>主线</x:v>
      </x:c>
      <x:c r="E22" s="30" t="str">
        <x:v>潜在恋爱</x:v>
      </x:c>
      <x:c r="F22" s="30" t="str">
        <x:v>单一主要关系记录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—</x:v>
      </x:c>
      <x:c r="K22" s="30" t="str">
        <x:v>—</x:v>
      </x:c>
      <x:c r="L22" s="30" t="str">
        <x:v>正篇事实＋强推断＋读者解读</x:v>
      </x:c>
      <x:c r="M22" s="30" t="str">
        <x:v>副线；含少女对成年男教师的明确单方爱恋及校园异性告白三角</x:v>
      </x:c>
      <x:c r="N22" s="27" t="str">
        <x:v>学生对成年教师的单方恋爱、失恋与拒绝、社团派系冲突、流言与偏袒指控、公开竞争和表演压力。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作品分类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无（另有一句关系性质未明的未具名男性背景台词）</x:v>
      </x:c>
      <x:c r="N23" s="27" t="str">
        <x:v>离职、毕业和告别带来的失落；前后辈与职业制度的权力差异；未具名男性背景台词（关系性质未明）。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作品分类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副线（成人配角的往事与笑料）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作品分类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作品分类</x:v>
      </x:c>
      <x:c r="D26" s="30" t="str">
        <x:v>缺席</x:v>
      </x:c>
      <x:c r="E26" s="30" t="str">
        <x:v>非恋爱</x:v>
      </x:c>
      <x:c r="F26" s="30" t="str">
        <x:v>单一主要关系记录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正篇事实＋读者解读</x:v>
      </x:c>
      <x:c r="M26" s="30" t="str">
        <x:v>无（只有被立即撤回或纠正的玩笑／误会）</x:v>
      </x:c>
      <x:c r="N26" s="27" t="str">
        <x:v>未成年人夜间迷路与受寒；明火、燃气、低温、独行及交通等露营风险；成年教师大量饮酒并醉倒；少量泡澡场面；没有本季女性恋爱确认。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作品分类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正篇事实＋强推断＋读者解读</x:v>
      </x:c>
      <x:c r="M27" s="30" t="str">
        <x:v>并列且关键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作品分类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正篇事实＋强推断＋读者解读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作品分类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副线（成年男性对成年女性的单向爱慕）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作品分类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正篇事实＋读者解读</x:v>
      </x:c>
      <x:c r="M30" s="30" t="str">
        <x:v>无（所核主对白轨）</x:v>
      </x:c>
      <x:c r="N30" s="27" t="str">
        <x:v>文明崩溃与战争遗迹、枪械及以武器争夺食物、生存物资短缺、高处坠落等危险、死亡与孤独议题；有共同沐浴等身体接近场景，但所核台词未把它们命名为恋爱或性行为。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作品分类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正篇事实＋强推断＋读者解读</x:v>
      </x:c>
      <x:c r="M31" s="30" t="str">
        <x:v>副线级暗示，不构成实际恋爱主线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作品分类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正篇事实＋读者解读</x:v>
      </x:c>
      <x:c r="M32" s="30" t="str">
        <x:v>副线（含明确告白、相互喜欢与童年之吻的回忆）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作品分类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副线；沙耶香与上条恭介的恋爱愿望构成情节条件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作品分类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无；有一次被明确撤回的表演性求婚桥段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作品分类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作品分类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正篇事实＋强推断＋读者解读</x:v>
      </x:c>
      <x:c r="M36" s="30" t="str">
        <x:v>单元副线</x:v>
      </x:c>
      <x:c r="N36" s="27" t="str">
        <x:v>幻想战斗、受伤与角色死亡、亲人离世和失踪、反派利用人物心理痛苦、误认性别引发的恋爱笑点。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作品分类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副线；秀一在开头向久美子告白，久美子提出暂缓并保持距离</x:v>
      </x:c>
      <x:c r="N37" s="27" t="str">
        <x:v>异性告白与关系暂缓、低音部选拔冲突、孤立和哭泣、比赛压力、对重要关系终将分离的焦虑。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作品分类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副线／背景（后藤—梨子）</x:v>
      </x:c>
      <x:c r="N38" s="27" t="str">
        <x:v>家庭冲突、退部危机、前后辈依恋、毕业离别和把音乐仰慕读成恋爱的风险。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作品分类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正篇事实／强推断／读者解读</x:v>
      </x:c>
      <x:c r="M39" s="30" t="str">
        <x:v>无</x:v>
      </x:c>
      <x:c r="N39" s="27" t="str">
        <x:v>主要角色为小学生和中学生；含夜间迷路、泳池清扫、泳装及儿童成长笑料；萤对小鞠的对象固定倾慕以玩偶、礼物和害羞的喜剧节奏呈现，本季没有女女交往确认。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作品分类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无；仅有玩笑和童年男性好感转述</x:v>
      </x:c>
      <x:c r="N40" s="27" t="str">
        <x:v>登山、恶劣天气与高山反应风险；童年坠落造成的恐高；第 4 话的吃醋与分离不安不等于已交往。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作品分类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正篇事实＋强推断＋读者解读</x:v>
      </x:c>
      <x:c r="M41" s="30" t="str">
        <x:v>无持续线；仅有童年旧录像的“嫁给哥哥”笑料</x:v>
      </x:c>
      <x:c r="N41" s="27" t="str">
        <x:v>主要人物多为儿童；含未成年角色的泳装／体型笑料、萤对小鞠的同床想象与单方倾慕。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作品分类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正篇事实＋强推断＋读者解读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作品分类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未成年角色旅行、浮潜与皮艇活动、离别哭泣；萤—小鞠的浪漫化阅读未在本片确认。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读者解读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正篇事实、强推断与读者解读并列，不能互相替代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作品分类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正篇事实＋强推断＋读者解读</x:v>
      </x:c>
      <x:c r="M45" s="30" t="str">
        <x:v>无</x:v>
      </x:c>
      <x:c r="N45" s="27" t="str">
        <x:v>关系操控、强烈依赖与排斥、公开情绪崩溃、激烈争执、家庭困境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作品分类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正篇事实＋强推断＋读者解读</x:v>
      </x:c>
      <x:c r="M46" s="30" t="str">
        <x:v>无</x:v>
      </x:c>
      <x:c r="N46" s="27" t="str">
        <x:v>升学考试压力、毕业与离别、共同体变化、日常喜剧中的身体与饮食玩笑。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作品分类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副线；沙耶香对上条恭介的恋爱愿望和仁美的告白构成情节条件</x:v>
      </x:c>
      <x:c r="N47" s="27" t="str">
        <x:v>死亡与战斗暴力、遗体与葬礼、欺骗性契约、身体／灵魂异化、绝望与自我牺牲、失恋与嫉妒、心理恐怖和悲剧性结尾。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作品分类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作品分类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作品分类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作品分类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作品分类</x:v>
      </x:c>
      <x:c r="D52" s="30" t="str">
        <x:v>缺席</x:v>
      </x:c>
      <x:c r="E52" s="30" t="str">
        <x:v>非恋爱</x:v>
      </x:c>
      <x:c r="F52" s="30" t="str">
        <x:v>单一主要关系记录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次要（仅边缘成年夫妻及若干非主线婚恋话题）</x:v>
      </x:c>
      <x:c r="N52" s="27" t="str">
        <x:v>野外遇险、受伤与中毒；绑架、帮派威胁及打斗；酒精和烟草；狩猎、捕鱼、屠宰与食用动物；泡澡／裸身相关台词；本范围没有确认的女女恋爱。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作品分类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校园暴力袭击与角色死亡、创伤和幸存者内疚、武器伤害、社会退缩与孤独、后段重现性叙事（仅字幕无法界定其现实或假设层级）。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作品分类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作品分类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作品分类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作品分类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战车炮击、爆炸、碰撞、翻覆与竞技险情；开局失去核心队伍造成的压力；学校竞争与高风险比赛语境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作品分类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作品分类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作品分类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作品分类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副线，含女对男欲望、男性调情与成人男性伴侣信息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作品分类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作品分类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正篇事实＋强推断＋读者解读</x:v>
      </x:c>
      <x:c r="M63" s="30" t="str">
        <x:v>无</x:v>
      </x:c>
      <x:c r="N63" s="27" t="str">
        <x:v>升学考试与毕业焦虑、同住伙伴的离别、夏目的害羞推拉、日常身体和饮食玩笑。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作品分类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作品分类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无持续线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作品分类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正篇事实／强推断／读者解读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作品分类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战车炮击、爆炸、碰撞与竞技险情；升学压力；粗鲁笑料；跨校竞争。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作品分类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作品分类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作品分类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正篇事实＋强推断＋读者解读</x:v>
      </x:c>
      <x:c r="M70" s="30" t="str">
        <x:v>无</x:v>
      </x:c>
      <x:c r="N70" s="27" t="str">
        <x:v>战车炮击、爆炸、碰撞与竞技险情；留级、升学与家庭压力；女子学园之间的竞赛；本话为未完结系列的一部分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作品分类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读者解读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正篇事实＋读者解读</x:v>
      </x:c>
      <x:c r="M72" s="30" t="str">
        <x:v>主导</x:v>
      </x:c>
      <x:c r="N72" s="27" t="str">
        <x:v>战争与革命暴力、处决与死亡、自杀、强迫婚姻、阶级压迫、明确拒绝后仍持续的身体控制与亲密边界侵犯。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作品分类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正篇事实＋读者解读</x:v>
      </x:c>
      <x:c r="M73" s="30" t="str">
        <x:v>无</x:v>
      </x:c>
      <x:c r="N73" s="27" t="str">
        <x:v>追逐与捕食玩笑、怪物袭击和持续生命危险、失忆与人格消失威胁、身份及物种不确定、世界背景谜团、短暂分离、温泉脱衣与身体差异喜剧。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作品分类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登山与天气风险、恐高焦虑、朋友冲突和分离不安。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作品分类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作品分类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作品分类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作品分类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作品分类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副线／背景</x:v>
      </x:c>
      <x:c r="N79" s="27" t="str">
        <x:v>总集篇压缩、浪漫化对白与音乐仰慕并置、师生权力差异、独奏选拔和竞赛压力。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作品分类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社交孤立与焦虑；减重、体重焦虑和运动；短暂行车故障与户外烹饪风险；轻度怪谈喜剧和被锁在校舍；本次 TV 范围没有女女恋爱确认。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作品分类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正篇事实＋强推断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作品分类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副线试探，没有成立交往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作品分类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正篇事实＋强推断＋读者解读</x:v>
      </x:c>
      <x:c r="M83" s="30" t="str">
        <x:v>无</x:v>
      </x:c>
      <x:c r="N83" s="27" t="str">
        <x:v>升学与前辈离开、饮食和身体玩笑、男性关注及嫉妒话题、手机小说中的恋爱词汇。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作品分类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成年人吸烟饮酒、夸张肢体冲突与恶作剧、小学生角色的洗浴／身体／穿衣笑料、远行与公共场所安全风险。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作品分类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多条异性恋爱／婚姻关系并列穿插，但不主导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作品分类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正篇事实＋强推断＋读者解读</x:v>
      </x:c>
      <x:c r="M86" s="30" t="str">
        <x:v>无持续线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作品分类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无实际展开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作品分类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中学生角色的约会、亲吻与“女朋友”语汇常处于喜剧或排练情境；欲望方向并不对称。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作品分类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战车炮击、爆炸、碰撞、翻覆与夜战；升学、毕业与学校延续压力；本篇为未完结系列的一部分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作品分类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局部背景；核心女性没有男性恋爱线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作品分类</x:v>
      </x:c>
      <x:c r="D91" s="30" t="str">
        <x:v>缺席</x:v>
      </x:c>
      <x:c r="E91" s="30" t="str">
        <x:v>非恋爱</x:v>
      </x:c>
      <x:c r="F91" s="30" t="str">
        <x:v>单一主要关系记录</x:v>
      </x:c>
      <x:c r="G91" s="30" t="str">
        <x:v>范围内没有性取向身份依据</x:v>
      </x:c>
      <x:c r="H91" s="30" t="str">
        <x:v>所核未见</x:v>
      </x:c>
      <x:c r="I91" s="30" t="str">
        <x:v>所核未见</x:v>
      </x:c>
      <x:c r="J91" s="30" t="str">
        <x:v>—</x:v>
      </x:c>
      <x:c r="K91" s="30" t="str">
        <x:v>—</x:v>
      </x:c>
      <x:c r="L91" s="30" t="str">
        <x:v>正篇事实＋读者解读</x:v>
      </x:c>
      <x:c r="M91" s="30" t="str">
        <x:v>副线</x:v>
      </x:c>
      <x:c r="N91" s="27" t="str">
        <x:v>死亡与离别、创伤记忆、血与身体疼痛、疑似自杀及自伤意象、儿童／少女受险、嫉妒与操控性坦白、宗教与赎罪意象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作品分类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作品分类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作品分类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作品分类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作品分类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入学日受阻、返乡、轻度嫉妒、烧烤烟雾误会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作品分类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作品分类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作品分类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作品分类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作品分类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副线，葵童年对米田的短暂好感</x:v>
      </x:c>
      <x:c r="N101" s="27" t="str">
        <x:v>亲子失约、童年走失与分离、纪念物遗失、歉疚。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作品分类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正篇事实＋强推断＋读者解读</x:v>
      </x:c>
      <x:c r="M102" s="30" t="str">
        <x:v>无</x:v>
      </x:c>
      <x:c r="N102" s="27" t="str">
        <x:v>校园嘲弄、地牢怪物、古龙危机和幻想战斗。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作品分类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副线</x:v>
      </x:c>
      <x:c r="N103" s="27" t="str">
        <x:v>未成年角色之间的性化身体笑话与隔衣触摸、未经同意的摸胸／摸臀及脱衣起哄、男性过敏与性别错认笑料、成人教师与未成年学生的单向迷恋、成人教师关于高中生／大学生的性与交往笑话、跟踪式观察、羞辱和肢体闹剧、排泄物／体液／死亡意象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作品分类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</x:v>
      </x:c>
      <x:c r="M104" s="30" t="str">
        <x:v>副线</x:v>
      </x:c>
      <x:c r="N104" s="27" t="str">
        <x:v>人体实验、克隆体死亡、恐怖袭击与受伤；黑子对美琴的越界式性追求和身体笑料；未成年角色受害。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作品分类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正篇事实＋强推断＋读者解读</x:v>
      </x:c>
      <x:c r="M105" s="30" t="str">
        <x:v>副线，不取代女女关系主轴</x:v>
      </x:c>
      <x:c r="N105" s="27" t="str">
        <x:v>战争与死亡、青少年被军事与宗教机构利用、被迫作出性别选择、悲伤与幸存者负担、未经同意的亲吻／亲密边界侵犯、姐妹关系中的性意味、年龄差与指导关系中的权力不对称。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作品分类</x:v>
      </x:c>
      <x:c r="D106" s="30" t="str">
        <x:v>缺席</x:v>
      </x:c>
      <x:c r="E106" s="30" t="str">
        <x:v>非恋爱</x:v>
      </x:c>
      <x:c r="F106" s="30" t="str">
        <x:v>单一主要关系记录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—</x:v>
      </x:c>
      <x:c r="K106" s="30" t="str">
        <x:v>—</x:v>
      </x:c>
      <x:c r="L106" s="30" t="str">
        <x:v>正篇事实＋强推断＋读者解读</x:v>
      </x:c>
      <x:c r="M106" s="30" t="str">
        <x:v>副线，包含由家族安排而后获得双方情感投入的婚约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作品分类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作品分类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作品分类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正篇事实＋读者解读</x:v>
      </x:c>
      <x:c r="M109" s="30" t="str">
        <x:v>无</x:v>
      </x:c>
      <x:c r="N109" s="27" t="str">
        <x:v>校园日常、泳池活动、共同留宿与家务喜剧。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作品分类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正篇事实＋强推断＋读者解读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作品分类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作品分类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无持续线；客座角色只有一句单相思说明</x:v>
      </x:c>
      <x:c r="N112" s="27" t="str">
        <x:v>教师服装与身体笑话、集体入浴、体重与节食笑话、轻微内衣／泳装笑话、疾病照护、客座角色对男性的单相思。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作品分类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正篇事实＋强推断＋读者解读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作品分类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未获同意的性追求与亲吻尝试、疑似下药企图、窃取贴身衣物、反复掀裙与内衣笑料、未成年角色的泳装和身体性笑料、肢体惩罚、暴力与爆炸、昏迷、儿童人体实验及生命危险。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作品分类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正篇事实＋强推断＋读者解读</x:v>
      </x:c>
      <x:c r="M115" s="30" t="str">
        <x:v>无</x:v>
      </x:c>
      <x:c r="N115" s="27" t="str">
        <x:v>魔女受迫害历史再现、校园惩罚和嘲弄、同伴争吵与绝交措辞、巨人出现与魔法危机。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作品分类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作品分类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正篇事实／强推断／读者解读</x:v>
      </x:c>
      <x:c r="M117" s="30" t="str">
        <x:v>无</x:v>
      </x:c>
      <x:c r="N117" s="27" t="str">
        <x:v>舞台竞争、象征性武器战斗、失去闪耀、强制分离与反复演出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作品分类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正篇事实＋强推断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作品分类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正篇事实＋强推断</x:v>
      </x:c>
      <x:c r="M119" s="30" t="str">
        <x:v>无</x:v>
      </x:c>
      <x:c r="N119" s="27" t="str">
        <x:v>包含求婚式想象、亲吻拟声、相思病角色扮演、鼻血与身体话题笑料；这些内容不等于现实层双方交往。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作品分类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正篇事实＋强推断＋读者解读</x:v>
      </x:c>
      <x:c r="M120" s="30" t="str">
        <x:v>无</x:v>
      </x:c>
      <x:c r="N120" s="27" t="str">
        <x:v>中学生群像喜剧、角色妄想中的恋爱化想象、澡堂场景、夸张肢体笑料和整蛊。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作品分类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作品分类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无；男性训练师是职业导师与照护者</x:v>
      </x:c>
      <x:c r="N122" s="27" t="str">
        <x:v>赛场伤病与退赛、过度训练、竞争压力、自我否定、不可见的朋友及心理困扰。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作品分类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正篇事实＋强推断＋读者解读</x:v>
      </x:c>
      <x:c r="M123" s="30" t="str">
        <x:v>无</x:v>
      </x:c>
      <x:c r="N123" s="27" t="str">
        <x:v>社团分组与公开投票、前后辈压力、竞赛压力和第一顺位玩笑。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作品分类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作品分类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作品分类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是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副线／背景</x:v>
      </x:c>
      <x:c r="N126" s="27" t="str">
        <x:v>贫困与童年分离、家庭契约、女校纪律、长期失联、战争创伤与离别。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作品分类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并行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作品分类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校园日常、姐姐／妹妹式玩笑、制服与咖啡因笑料，以及朋友分开时的寂寞。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作品分类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作品分类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作品分类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无；男性训练师是重要职业导师</x:v>
      </x:c>
      <x:c r="N131" s="27" t="str">
        <x:v>未出生双胞胎妹妹死亡与哀悼、幸存者内疚和反复自责、与逝者的梦／幻视对话、自我责罚式过量训练、腿痛及明知可能受伤仍继续参赛、强烈竞技压力与哭泣。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作品分类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作品分类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正篇事实＋强推断＋读者解读</x:v>
      </x:c>
      <x:c r="M133" s="30" t="str">
        <x:v>副线</x:v>
      </x:c>
      <x:c r="N133" s="27" t="str">
        <x:v>幻想战斗、未成年人遇险、分离与失落、反派操纵、单向青春期告白与被拒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作品分类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正篇事实＋强推断＋读者解读</x:v>
      </x:c>
      <x:c r="M134" s="30" t="str">
        <x:v>副线</x:v>
      </x:c>
      <x:c r="N134" s="27" t="str">
        <x:v>父亲去世与遗物相机的回忆、摄影部建立和加奈惠毕业带来的离别情绪。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作品分类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作品分类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中学生群像喜剧、水球和湿身笑料、恶作剧、留宿，以及为了拍睡脸而临时哄睡同伴。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作品分类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正篇事实＋强推断＋读者解读</x:v>
      </x:c>
      <x:c r="M137" s="30" t="str">
        <x:v>副线</x:v>
      </x:c>
      <x:c r="N137" s="27" t="str">
        <x:v>泳装与公共泳池、不会游泳的安全话题、校园情书及对恋爱事件的群体讨论。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作品分类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作品分类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正篇事实＋强推断</x:v>
      </x:c>
      <x:c r="M139" s="30" t="str">
        <x:v>无</x:v>
      </x:c>
      <x:c r="N139" s="27" t="str">
        <x:v>口头拒绝后仍继续亲吻与身体压制；浴室、温泉中的裸露和性化情节；未成年角色间的性话题；掌掴；焦虑及反复自我贬低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作品分类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作品分类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正篇事实＋强推断＋读者解读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作品分类</x:v>
      </x:c>
      <x:c r="D142" s="30" t="str">
        <x:v>主线</x:v>
      </x:c>
      <x:c r="E142" s="30" t="str">
        <x:v>潜在恋爱</x:v>
      </x:c>
      <x:c r="F142" s="30" t="str">
        <x:v>单一主要关系记录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正篇事实＋强推断＋读者解读</x:v>
      </x:c>
      <x:c r="M142" s="30" t="str">
        <x:v>前代背景副线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作品分类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</x:v>
      </x:c>
      <x:c r="M143" s="30" t="str">
        <x:v>无持续线；仅有被拒绝的约会要求与虚假人物引出的短暂心动</x:v>
      </x:c>
      <x:c r="N143" s="27" t="str">
        <x:v>奇幻暴力与未成年人遇险、校园欺凌和排斥、受制状态下的强迫约会要求、诅咒变形、精神／记忆改动、控制型家长与家庭分离、监禁及公开石化未遂。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作品分类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作品分类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正篇事实＋强推断＋读者解读</x:v>
      </x:c>
      <x:c r="M145" s="30" t="str">
        <x:v>范围内未见</x:v>
      </x:c>
      <x:c r="N145" s="27" t="str">
        <x:v>战争、未成年参战、负伤与死亡威胁、裸体及内衣式服装取景、第7话身体笑料与带性意味的接触。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作品分类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作品分类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范围内字幕文本未呈现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作品分类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作品分类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正篇事实＋强推断＋读者解读</x:v>
      </x:c>
      <x:c r="M149" s="30" t="str">
        <x:v>无</x:v>
      </x:c>
      <x:c r="N149" s="27" t="str">
        <x:v>父亲去世和遗物照片带来的回忆、迁居与旧友重逢、日常活动中的离别情绪。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作品分类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版夸张事故和灾害喜剧、身体变形笑点、快速切换角色、三分钟短篇结构。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作品分类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正篇事实＋强推断＋读者解读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作品分类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正篇事实＋强推断＋读者解读</x:v>
      </x:c>
      <x:c r="M152" s="30" t="str">
        <x:v>无</x:v>
      </x:c>
      <x:c r="N152" s="27" t="str">
        <x:v>战车炮击、追击、车辆损伤、比赛压力与夸张队长敬称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作品分类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作品分类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作品分类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作品分类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作品分类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作品分类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作品分类</x:v>
      </x:c>
      <x:c r="D159" s="30" t="str">
        <x:v>缺席</x:v>
      </x:c>
      <x:c r="E159" s="30" t="str">
        <x:v>非恋爱</x:v>
      </x:c>
      <x:c r="F159" s="30" t="str">
        <x:v>单一主要关系记录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正篇事实＋强推断＋读者解读</x:v>
      </x:c>
      <x:c r="M159" s="30" t="str">
        <x:v>并列的重要感情线，男性一方明确说喜欢</x:v>
      </x:c>
      <x:c r="N159" s="27" t="str">
        <x:v>大量肢解与流血、食人和身体恐怖、儿童受虐与遇险、性暴力威胁、人体改造、酷刑、死亡、自杀／请求他人结束生命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作品分类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无；仅有未成线的政治婚姻话题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作品分类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作品分类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版夸张事故和灾害喜剧、身体变形笑点、快速切换角色、三分钟短篇结构。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作品分类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无；另有不涉及女主角的非人角色一见钟情笑料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作品分类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正篇事实＋强推断＋读者解读</x:v>
      </x:c>
      <x:c r="M164" s="30" t="str">
        <x:v>地方篇章副线，未确立交往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作品分类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作品分类</x:v>
      </x:c>
      <x:c r="D166" s="30" t="str">
        <x:v>缺席</x:v>
      </x:c>
      <x:c r="E166" s="30" t="str">
        <x:v>非恋爱</x:v>
      </x:c>
      <x:c r="F166" s="30" t="str">
        <x:v>单一主要关系记录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—</x:v>
      </x:c>
      <x:c r="K166" s="30" t="str">
        <x:v>—</x:v>
      </x:c>
      <x:c r="L166" s="30" t="str">
        <x:v>正篇事实＋读者解读</x:v>
      </x:c>
      <x:c r="M166" s="30" t="str">
        <x:v>副线（成年男女情侣）</x:v>
      </x:c>
      <x:c r="N166" s="27" t="str">
        <x:v>学校合并与活动取消压力、小学时期被同学工具化的回忆、生徒会室火灾、可疑成年男性进入女子校学园祭、喜剧性碰撞与受伤。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读者解读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并行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作品分类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作品分类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</x:v>
      </x:c>
      <x:c r="M169" s="30" t="str">
        <x:v>并列存在，包含未获回应爱恋与非互惠婚约</x:v>
      </x:c>
      <x:c r="N169" s="27" t="str">
        <x:v>列车性骚扰、与年长女性亲属的过往恋爱及年龄／家庭关系差、家人盘问同性关系与性行为、对女高中生身体的评论、学生对成年教师的未获回应爱恋、婚约安排、失恋与分手。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作品分类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超自然战斗、爆炸与重伤、死亡和创伤、神经操控与身体夺取、战争与大规模伤亡威胁。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作品分类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正篇事实、强推断与读者解读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作品分类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自杀意念与不幸经历、身体异变、欺骗式助人、女性同性爱表达。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作品分类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父亲去世和遗物相机带来的回忆、迁居与重新交友、创作焦虑和长途步行。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作品分类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大学生对小学五年级儿童的一见钟情式迷恋；甜点换穿服装及拍照；拒绝或限制后继续请求、连拍与偷拍；警察询问；成人同龄人持续观察、尾随和在住处周边活动。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作品分类</x:v>
      </x:c>
      <x:c r="D176" s="30" t="str">
        <x:v>主线</x:v>
      </x:c>
      <x:c r="E176" s="30" t="str">
        <x:v>潜在恋爱</x:v>
      </x:c>
      <x:c r="F176" s="30" t="str">
        <x:v>单一主要关系记录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正篇事实＋强推断＋读者解读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作品分类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作品分类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作品分类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正篇事实＋强推断</x:v>
      </x:c>
      <x:c r="M179" s="30" t="str">
        <x:v>无</x:v>
      </x:c>
      <x:c r="N179" s="27" t="str">
        <x:v>多名女性围绕同一主角的告白和嫉妒；同时与两人交往及“二股”的讨论；对同性恋爱是否“普通”的自我怀疑；cosplay、旅馆女子会、浴室和身体暴露相关情节；强烈自责与自我贬低。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作品分类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正篇事实＋强推断＋读者解读</x:v>
      </x:c>
      <x:c r="M180" s="30" t="str">
        <x:v>无</x:v>
      </x:c>
      <x:c r="N180" s="27" t="str">
        <x:v>拘禁与喜剧化拷问、阵营冲突、魔法失控、轻度身体危险和以友情修复敌对关系。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作品分类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正篇事实＋强推断＋读者解读</x:v>
      </x:c>
      <x:c r="M181" s="30" t="str">
        <x:v>无</x:v>
      </x:c>
      <x:c r="N181" s="27" t="str">
        <x:v>高中女生胸围、体型、泳装和脱衣笑话，入浴与内衣段落，对金发与国籍差异的反复夸张笑料。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作品分类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毕业与团体解散压力、异国舞台的不适应、成员离别和未来选择、不对等的偶像凝视笑料。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作品分类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作品分类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作品分类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奇幻战斗与校园灾害演习、对身体变化和换装的喜剧性言谈、嫉妒、短暂争执与分离焦虑、以爱情魔药制造的喜剧桥段；本次材料没有确认接吻、交往或性描写。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作品分类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读者解读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间谍行动、枪战、爆炸、克隆与身份置换；南希与男性首领的明确恋爱、操纵和死亡；女女搭档含背叛、牺牲与失去。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作品分类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副线，存在男性对女主之一的单向好感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作品分类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无；出现被拒绝的政治婚约和父母的过往婚姻事实，但没有现在时、双方互惠的男性恋爱线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作品分类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并列；含木场对阳子的迷恋、成年雨宫对十四岁加菜子的爱恋，以及阳子与父亲的近亲性关系</x:v>
      </x:c>
      <x:c r="N190" s="27" t="str">
        <x:v>未成年人受险与死亡、推落站台、连环杀人与肢解、身体恐怖、活体切割与医学实验、亲子虐待与宗教操控、近亲性关系、成年人对未成年人的爱恋、战时人体实验、自杀言行。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作品分类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作品分类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正篇事实＋强推断＋读者解读</x:v>
      </x:c>
      <x:c r="M192" s="30" t="str">
        <x:v>并列；多个单元含男性告白、女性对男性的好感或异性婚恋，但没有一条贯穿全篇</x:v>
      </x:c>
      <x:c r="N192" s="27" t="str">
        <x:v>双胞胎姐妹接吻与近亲指向、依存和身份融合、梦境中的持刀及自杀表述、未成年裸体绘画模特与施压、偷窥式隐藏摄像、亲人死亡与哀伤、爆炸及事故。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作品分类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读者解读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作品分类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读者解读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作品分类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读者解读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正篇事实＋强推断＋读者解读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作品分类</x:v>
      </x:c>
      <x:c r="D199" s="30" t="str">
        <x:v>缺席</x:v>
      </x:c>
      <x:c r="E199" s="30" t="str">
        <x:v>非恋爱</x:v>
      </x:c>
      <x:c r="F199" s="30" t="str">
        <x:v>单一主要关系记录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—</x:v>
      </x:c>
      <x:c r="K199" s="30" t="str">
        <x:v>—</x:v>
      </x:c>
      <x:c r="L199" s="30" t="str">
        <x:v>正篇事实＋读者解读</x:v>
      </x:c>
      <x:c r="M199" s="30" t="str">
        <x:v>副线，喵有数次明确的男性向往，第 13 话另有异性恋爱事件与兰的昔日婚约</x:v>
      </x:c>
      <x:c r="N199" s="27" t="str">
        <x:v>刀剑与拳脚暴力、绑架及人口贩卖、婴儿遇险、药物依赖与死亡、宗教诈骗和纵火、诬告与未遂处刑、喜剧性裸露及偷窥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作品分类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作品分类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作品分类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作品分类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对高中女生胸部的性化台词、洗浴对话、严重晕厥与住院、丧母回忆和高压竞赛。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作品分类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无（范围内未见）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作品分类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正篇事实＋强推断＋读者解读</x:v>
      </x:c>
      <x:c r="M205" s="30" t="str">
        <x:v>无</x:v>
      </x:c>
      <x:c r="N205" s="27" t="str">
        <x:v>频繁的喜剧化杀人、肢解与尸体处理，流血和重伤，绑架与监禁，强制人体实验和身体改造，年龄倒退，家庭谋杀与创伤，跟踪监视，性化身体笑料，赌博成瘾与经济利用。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非百合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正篇事实＋强推断；恋爱读法属于读者解读</x:v>
      </x:c>
      <x:c r="M206" s="30" t="str">
        <x:v>无</x:v>
      </x:c>
      <x:c r="N206" s="27" t="str">
        <x:v>人偶身份与未完成状态、父亲承认焦虑、身体衰弱与行走练习、战斗、关系破裂及虐待性言语。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作品分类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正篇事实＋读者解读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作品分类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无已确认线</x:v>
      </x:c>
      <x:c r="N208" s="27" t="str">
        <x:v>项目解体威胁、竞争性选拔、工作压力、失去自信、组合路线冲突。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作品分类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单元故事中的副线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作品分类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作品分类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副线；存在单向好感，未成立情侣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作品分类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作品分类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喜剧化敲打与轻度身体冲突；校规对男女交往的惩戒威胁；性别气质、胸部和外貌玩笑；深色妆容及模仿表演构成的肤色／种族刻板笑料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作品分类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正篇事实＋强推断＋读者解读</x:v>
      </x:c>
      <x:c r="M214" s="30" t="str">
        <x:v>次要；有单集邀约及男性同伴的两次含混情感表达，均未发展为关系</x:v>
      </x:c>
      <x:c r="N214" s="27" t="str">
        <x:v>科幻战斗与死亡、阶级压迫、记忆操控、身体更替与复制人、自杀意念、药物与医疗危机、儿童受威胁、少量性化画面及骚扰式玩笑。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作品分类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副线，含持续且明确的男女朋友关系</x:v>
      </x:c>
      <x:c r="N215" s="27" t="str">
        <x:v>跟踪、反复拍摄及制作等身人像，利用他人制造嫉妒；另有对手队友冒充家属、把参赛者骗离赛场并反锁，校园斗殴、欺凌、比赛受伤及师长失职。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作品分类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并行</x:v>
      </x:c>
      <x:c r="N216" s="27" t="str">
        <x:v>把全部收入投入唱片及付费接触、带病工作与观演、鼻血／骨折／声带受损等夸张伤病笑料、窥视或共浴等未实行的越界幻想、偶像恋爱禁忌与绯闻压力。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作品分类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正篇事实＋读者解读</x:v>
      </x:c>
      <x:c r="M217" s="30" t="str">
        <x:v>无</x:v>
      </x:c>
      <x:c r="N217" s="27" t="str">
        <x:v>短篇节奏压缩关系细节；旅行、骑行和道路活动风险；地方传说带来的短暂惊吓。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作品分类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校园排斥与身体羞辱、家庭压力和丧亲、对记忆的消除与身份动摇、顾客遭遇的单恋和关系欺瞒、愿望被替人决定、社交媒体比较、经济／学业压力、青少年被成年人操纵参与魔法劳动。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作品分类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正篇事实＋强推断</x:v>
      </x:c>
      <x:c r="M219" s="30" t="str">
        <x:v>无；但一名男性角色与女主角的非恋爱控制／同住冲突是主线</x:v>
      </x:c>
      <x:c r="N219" s="27" t="str">
        <x:v>以女同性欲望和鼻血作反复笑料、对女学生身体的性化凝视、胁迫与秘密威胁、被迫同住和持续监视、羞辱性称呼与校园排斥、性别表达被用于欺骗与揭露笑料、宗教学校意象的戏仿。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作品分类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正篇事实＋读者解读</x:v>
      </x:c>
      <x:c r="M220" s="30" t="str">
        <x:v>副线</x:v>
      </x:c>
      <x:c r="N220" s="27" t="str">
        <x:v>幻想战斗与未成年人遇险、敌方胁迫和身份消失、离别与哀伤、校园冲突。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作品分类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副线，包含ヒメ—秋名的持续牵引及桃華对秋名的明确单恋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作品分类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</x:v>
      </x:c>
      <x:c r="M222" s="30" t="str">
        <x:v>无</x:v>
      </x:c>
      <x:c r="N222" s="27" t="str">
        <x:v>奇幻战斗与怪物威胁、时间回溯和记忆改写、朋友策划的虚假绑架、泳装与面向年轻角色的服务性画面、学校及师生权力结构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读者解读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正篇事实＋强推断＋读者解读</x:v>
      </x:c>
      <x:c r="M223" s="30" t="str">
        <x:v>副线／背景</x:v>
      </x:c>
      <x:c r="N223" s="27" t="str">
        <x:v>哮喘与慢性病、童年忽视与女仆欺凌、寄养与家庭遗弃焦虑、发烧与筒仓相关恐惧、父母死亡与哀伤、跨代家庭创伤和记忆混淆。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作品分类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作品分类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作品分类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作品分类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作品分类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读者解读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正篇事实／强推断／读者解读</x:v>
      </x:c>
      <x:c r="M229" s="30" t="str">
        <x:v>次要</x:v>
      </x:c>
      <x:c r="N229" s="27" t="str">
        <x:v>空战、枪炮与坠机，受伤和死亡危险，政治强迫与宣传，反复饮酒，异性调情、求婚及失败婚姻笑料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作品分类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作品分类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作品分类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作品分类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正篇事实＋强推断＋读者解读</x:v>
      </x:c>
      <x:c r="M233" s="30" t="str">
        <x:v>无</x:v>
      </x:c>
      <x:c r="N233" s="27" t="str">
        <x:v>亲生双胞胎姐妹之间的恋爱方向；日语字幕为低可靠度自动转写，未作视听复核。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作品分类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正篇字幕事实、强推断、读者解读</x:v>
      </x:c>
      <x:c r="M234" s="30" t="str">
        <x:v>局部</x:v>
      </x:c>
      <x:c r="N234" s="27" t="str">
        <x:v>未成年角色性化喜剧、补给魔力时的亲吻与身体边界问题、义兄恋爱笑点、魔法战斗与生命危险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作品分类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—</x:v>
      </x:c>
      <x:c r="K235" s="30" t="str">
        <x:v>—</x:v>
      </x:c>
      <x:c r="L235" s="30" t="str">
        <x:v>正篇事实＋强推断＋读者解读</x:v>
      </x:c>
      <x:c r="M235" s="30" t="str">
        <x:v>重要副线，同样未确认交往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作品分类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正篇事实＋强推断＋读者解读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作品分类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未成年少女战斗、受伤、角色死亡、同伴哀伤与未完成约定。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作品分类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正篇事实＋强推断＋读者解读</x:v>
      </x:c>
      <x:c r="M238" s="30" t="str">
        <x:v>无（所核 12 话日文 CC）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作品分类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作品分类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次要；第 13 话单集男性情感支线未确认交往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作品分类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正篇事实＋强推断＋读者解读</x:v>
      </x:c>
      <x:c r="M241" s="30" t="str">
        <x:v>无</x:v>
      </x:c>
      <x:c r="N241" s="27" t="str">
        <x:v>制度对未成年人的欺瞒与利用、儿童战斗和重度奇幻暴力、身体献祭及感觉／运动功能丧失、失忆与身份操纵、自毁式牺牲和长期昏迷、自杀念头与毁灭世界的行动、末世威胁、内疚与情绪崩溃。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作品分类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作品分类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无；有独身男性／结婚笑话、家庭父母与男性配角，但无求爱发展</x:v>
      </x:c>
      <x:c r="N243" s="27" t="str">
        <x:v>女性间性化骚扰、索取内衣与窥视／拍摄企图，换衣／内衣／胸臀笑料，未经同意入室、捆绑和打闹，流浪犬可能被处置，毁灭世界威胁作喜剧。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读者解读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并列；裕太对六花的喜欢明确、相互性未确认</x:v>
      </x:c>
      <x:c r="N244" s="27" t="str">
        <x:v>怪兽暴力与城市破坏、死亡被抹除和记忆改写、刺伤及流血、失忆与身份置换、创造者对他人情感的预设、操纵与孤立、梦境诱导、自我否定及要求他人杀死自己。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作品分类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正篇事实为主，局部关系含强推断</x:v>
      </x:c>
      <x:c r="M245" s="30" t="str">
        <x:v>无；存在家族安排的男性婚约压力，但没有男性欲望或互惠恋爱线</x:v>
      </x:c>
      <x:c r="N245" s="27" t="str">
        <x:v>未成年角色的性化呈现、突然发起的接吻与喜剧化边界越过、嫉妒和排他、亲戚间恋爱方向、家族安排婚约、未经邀请的身体触碰、泳池与身体笑料。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作品分类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作品分类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 caricature、性骚扰笑料、丧亲与家园可能消失。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作品分类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正篇事实／强推断／读者解读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作品分类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正篇事实＋强推断＋读者解读</x:v>
      </x:c>
      <x:c r="M249" s="30" t="str">
        <x:v>无</x:v>
      </x:c>
      <x:c r="N249" s="27" t="str">
        <x:v>女同性欲望、鼻血与身体凝视被反复用于喜剧；女学生身体、气味与梦境场景被性化；鞠也和茉莉花的捉弄与辛辣言辞；梦境和夸张想象不能单独当作现实交往证据。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作品分类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正篇事实＋公开声明的分类解释</x:v>
      </x:c>
      <x:c r="M250" s="30" t="str">
        <x:v>无</x:v>
      </x:c>
      <x:c r="N250" s="27" t="str">
        <x:v>捕捉、宰杀、处理和食用鱼类及海洋生物，活饵与昆虫，利用主人公恐惧促成入部，成人教师饮酒后向学生说结婚与亲吻笑话并遭拒绝，泳装与身体笑料，水上安全风险。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作品分类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正篇事实＋强推断＋读者解读</x:v>
      </x:c>
      <x:c r="M251" s="30" t="str">
        <x:v>无</x:v>
      </x:c>
      <x:c r="N251" s="27" t="str">
        <x:v>文化祭压力、争宠和暧昧配对笑料、跨文化误解、校园身体话题。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作品分类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作品分类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群像切换频繁、场地受天气损坏后的紧急修复与演出压力。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作品分类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正篇事实＋读者解读</x:v>
      </x:c>
      <x:c r="M254" s="30" t="str">
        <x:v>副线（第 7 话局部成年男女往事）</x:v>
      </x:c>
      <x:c r="N254" s="27" t="str">
        <x:v>暗杀误会、伪造自杀与诅咒故事、跟踪与偷窥误会、喜剧性暴力和武器、VR 战斗、身体与胸部笑料、泳装／洗浴节目笑话、诈骗和网络攻击。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作品分类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读者解读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正篇事实＋强推断＋读者解读</x:v>
      </x:c>
      <x:c r="M256" s="30" t="str">
        <x:v>无</x:v>
      </x:c>
      <x:c r="N256" s="27" t="str">
        <x:v>碎片化概念叙事、抽象神性意象、魔法少女战斗与不安氛围；未作本地画面复核。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作品分类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正篇事实＋强推断＋读者解读</x:v>
      </x:c>
      <x:c r="M257" s="30" t="str">
        <x:v>副线</x:v>
      </x:c>
      <x:c r="N257" s="27" t="str">
        <x:v>饥饿与居住惩罚、频繁打闹和险境、非自愿拥抱／脱衣／胸部触碰、男性性骚扰与暴露、未成年外观角色的身体笑料、安排婚姻和局部男女恋爱。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作品分类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正篇事实＋强推断＋读者解读</x:v>
      </x:c>
      <x:c r="M258" s="30" t="str">
        <x:v>副线，一名队长明确回忆已故男性恋人</x:v>
      </x:c>
      <x:c r="N258" s="27" t="str">
        <x:v>战争与空战、青少年参战、负伤与死亡回忆、频繁裸体及内衣式服装取景、胸部与身体凝视笑料、带侵入性的身体接触、偷窥和浴室服务性场面。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作品分类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小学六年级少女承担战斗职责、受伤与组织压力；含未成年角色的温泉和身体发育玩笑。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作品分类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作品分类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作品分类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露骨性双关、色情书与性工作笑料、对未成年少女的性化凝视、冒充亲属、边界侵犯、非自愿干预与长期昏睡。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作品分类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正篇事实＋强推断＋读者解读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作品分类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正篇事实＋强推断＋读者解读</x:v>
      </x:c>
      <x:c r="M264" s="30" t="str">
        <x:v>无</x:v>
      </x:c>
      <x:c r="N264" s="27" t="str">
        <x:v>枪战、爆炸与重伤；自杀意念和方法笑话；威权监控、强制服从、监禁与强迫劳动；身体、内衣及不穿内衣笑话；带强迫意味的亲热幻想，剧中明确讨论同意；临终告别和角色消失。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作品分类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作品分类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作品分类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作品分类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正篇事实＋强推断＋读者解读</x:v>
      </x:c>
      <x:c r="M268" s="30" t="str">
        <x:v>无</x:v>
      </x:c>
      <x:c r="N268" s="27" t="str">
        <x:v>强迫赌博、债务与制度性奴役；羞辱、霸凌和人生计划；枪械、俄罗斯轮盘、自伤与求死欲望；性化赌博兴奋、支配和受虐；拔指甲与流血；强制婚育和职业安排。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读者解读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作品分类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次要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作品分类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作品分类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正篇文本事实与强推断分开记录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作品分类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未成年人物的泳装／内衣／胸部与身体笑料、教师查看学生内衣及师生权力差、成人醉酒、社交焦虑与蛰居、升学中断压力、轻度肢体喜剧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作品分类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未经同意的搬入与身体接近、秘密把怕阳光的吸血鬼带到海边、拒绝后仍吸血、洗浴与身体笑料、对年轻女性的性化言语、把占有欲当作笑料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作品分类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作品分类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作品分类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作品分类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作品分类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作品分类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作品分类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无；男性训练师是重要职业导师与照护者</x:v>
      </x:c>
      <x:c r="N281" s="27" t="str">
        <x:v>赛场严重骨折、倒地与急救，长期复健及再次受伤恐惧，过量训练和竞技压力，体重／节食笑料，男性训练师未经同意触碰腿部并被当作性骚扰笑料，主人公出生母亲去世。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作品分类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正篇事实＋强推断＋读者解读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作品分类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作品分类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正篇事实＋强推断＋读者解读</x:v>
      </x:c>
      <x:c r="M284" s="30" t="str">
        <x:v>无</x:v>
      </x:c>
      <x:c r="N284" s="27" t="str">
        <x:v>旧乐队解散、关系操控、依赖与排斥、情绪崩溃、FILM LIVE 表演层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作品分类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—</x:v>
      </x:c>
      <x:c r="K285" s="30" t="str">
        <x:v>—</x:v>
      </x:c>
      <x:c r="L285" s="30" t="str">
        <x:v>正篇事实／强推断／读者解读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作品分类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殴打、飞刀、关节技、暗杀威胁、强行靠近与恶作剧被台词作为动作喜剧讨论；未作画面复核。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作品分类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次要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作品分类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正篇事实／强推断／读者解读</x:v>
      </x:c>
      <x:c r="M289" s="30" t="str">
        <x:v>无</x:v>
      </x:c>
      <x:c r="N289" s="27" t="str">
        <x:v>亲密玩笑与捉弄，穿衣洗澡、床戏、胸部和性暗示笑料，对“好想死／不想死”的语言玩笑。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作品分类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所核未见</x:v>
      </x:c>
      <x:c r="J290" s="30" t="str">
        <x:v>—</x:v>
      </x:c>
      <x:c r="K290" s="30" t="str">
        <x:v>—</x:v>
      </x:c>
      <x:c r="L290" s="30" t="str">
        <x:v>正篇事实／强推断／读者解读</x:v>
      </x:c>
      <x:c r="M290" s="30" t="str">
        <x:v>并列</x:v>
      </x:c>
      <x:c r="N290" s="27" t="str">
        <x:v>时代性别歧视、未成年订婚与年龄差、侵入式求爱、家长隐瞒与禁足、以断绝关系相威胁、运动伤害与训练压力、夜间冲突及犯罪威胁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作品分类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潜水风险、分离焦虑、第 7–9 话梦境男女恋爱支流。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作品分类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正篇资料／强推断／读者解读</x:v>
      </x:c>
      <x:c r="M292" s="30" t="str">
        <x:v>无</x:v>
      </x:c>
      <x:c r="N292" s="27" t="str">
        <x:v>每面约两分钟的高速荒诞喜剧、夸张肢体动作、竞争与追逐笑料、系列式身体或内衣笑点可能延续；第27面有男性角色介入但未形成恋爱线。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作品分类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正篇事实／强推断／读者解读</x:v>
      </x:c>
      <x:c r="M293" s="30" t="str">
        <x:v>无</x:v>
      </x:c>
      <x:c r="N293" s="27" t="str">
        <x:v>高中生角色的胸部与身体笑料、亲吻／触摸请求、拒绝与身体接触边界被用作笑点、夸张肢体打闹、成人教师与学生之间的胸部触摸玩笑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作品分类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所核台词未建立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读者解读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未成年角色的裸体／洗浴／胸部与身体笑料、性器官查验笑话、对性别气质的刻板判断、异性隔离与强制性恋爱教育、身体惩罚和轻度暴力、疾病与运动伤害、对外貌的比较和羞辱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作品分类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无；童年“男孩”只是米拉对苍的误认</x:v>
      </x:c>
      <x:c r="N296" s="27" t="str">
        <x:v>未成年角色的泳装、沐浴、内衣／身体及性词笑料，偷拍和跟随同伴被当作喜剧，嫉妒、私奔、同住与“通い妻”玩笑，搬家与家庭分离压力，生病、疲劳及灾害回忆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作品分类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无；男性制作人是重要职业角色</x:v>
      </x:c>
      <x:c r="N297" s="27" t="str">
        <x:v>偶像行业与舞台压力、情绪崩溃及短暂退队、压力导致发热倒下、服装与身体展示的轻度性化笑料。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作品分类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澡堂同浴、女性身体服务笑料、黑子对美琴的性感化言语与越界触摸愿望。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作品分类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正篇事实＋强推断＋读者解读</x:v>
      </x:c>
      <x:c r="M299" s="30" t="str">
        <x:v>副线，胡桃对男性前辈的失恋回忆</x:v>
      </x:c>
      <x:c r="N299" s="27" t="str">
        <x:v>僵尸末日与持续生存威胁、死亡与血腥、武器和身体恐怖、感染与失去行动控制、创伤性否认和幻觉、教师死亡、犬只感染与死亡、食物短缺、少量泳装／洗浴／内衣笑料。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作品分类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作品分类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正篇事实＋强推断＋读者解读</x:v>
      </x:c>
      <x:c r="M302" s="30" t="str">
        <x:v>所审读范围未见主线</x:v>
      </x:c>
      <x:c r="N302" s="27" t="str">
        <x:v>长途骑行、山路与吊桥、夜间露营、低温和交通安全风险；完整字幕文本未确认女女恋爱。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作品分类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未成年角色性化笑剧、身体与意识操纵、囚禁、战争与伤害、家庭创伤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作品分类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作品分类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作品分类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正篇资料／强推断／读者解读</x:v>
      </x:c>
      <x:c r="M306" s="30" t="str">
        <x:v>无</x:v>
      </x:c>
      <x:c r="N306" s="27" t="str">
        <x:v>每面约两分钟的高速荒诞喜剧、夸张肢体动作、洗澡与身体笑料、竞争与追逐、第21面男性棒球部角色及第23面外星人单元。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作品分类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关系与事件为正篇事实，部分动作由双语字幕和二次视觉记录互证</x:v>
      </x:c>
      <x:c r="M307" s="30" t="str">
        <x:v>并列，前中期约会与接吻明确，终话告白被拒绝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性侵与强行接吻、击打和压制、操纵与蓄意造成心理伤害、自伤／自杀举动、相爱者互相持械伤害、死亡献祭、灭世灾难、血与战斗伤、未成年角色裸露和性化、同性恋爱被写成“不被允许”的社会压力。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读者解读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作品分类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突然逼近和试图亲吻、无视反复拒绝的强迫亲密、创伤性错认、单恋与占有、情感操纵、重病与死亡、哀伤反应、骑马事故与失忆。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作品分类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短篇喜剧将亲密互动压缩为笑点；侑与步梦有特殊幼驯染读法；‘妹妹’游戏、竞争和恶作剧会夸张呈现关系边界。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作品分类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正篇事实＋读者解读</x:v>
      </x:c>
      <x:c r="M311" s="30" t="str">
        <x:v>副线</x:v>
      </x:c>
      <x:c r="N311" s="27" t="str">
        <x:v>儿童战斗、强制魔法契约、未成年角色性化喜剧、义兄妹单向恋爱、误认对象的接吻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作品分类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作品分类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作品分类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可见宣传</x:v>
      </x:c>
      <x:c r="L314" s="30" t="str">
        <x:v>正篇事实＋强推断＋读者解读</x:v>
      </x:c>
      <x:c r="M314" s="30" t="str">
        <x:v>无</x:v>
      </x:c>
      <x:c r="N314" s="27" t="str">
        <x:v>武侠打斗与兵器、流血和受伤、擂台冲突、阴谋、身份伪装、绑架或囚禁风险、奇幻力量失控、死亡威胁、群像叙事占比变化。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读者解读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正篇事实＋读者解读</x:v>
      </x:c>
      <x:c r="M315" s="30" t="str">
        <x:v>主导</x:v>
      </x:c>
      <x:c r="N315" s="27" t="str">
        <x:v>性侵或性侵未遂、未成年角色性化裸露、控制与政治暴力、朋友背叛、角色死亡与哀伤、战争、失忆、年龄及权力差恋爱。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作品分类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高速台词、荒诞暴力和死亡笑料、身体触碰与性化玩笑、昆虫与动物威胁、电影戏仿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作品分类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正篇事实＋强推断＋读者解读</x:v>
      </x:c>
      <x:c r="M317" s="30" t="str">
        <x:v>无</x:v>
      </x:c>
      <x:c r="N317" s="27" t="str">
        <x:v>赌博债务与制度性“家畜”、强迫与羞辱、拔指甲和流血、求死与高塔跳落、性化支配、偶像行业操纵及家族权力斗争。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作品分类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作品分类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作品分类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副线，含女学生对男性教师的单向心意及男性对千绪的追求笑料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作品分类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副线（一次性配角笑点）</x:v>
      </x:c>
      <x:c r="N321" s="27" t="str">
        <x:v>高速对白、荒诞暴力、身体与性暗示笑料、袭胸提议和诅咒笑话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作品分类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作品分类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作品分类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正篇事实／强推断／读者解读</x:v>
      </x:c>
      <x:c r="M324" s="30" t="str">
        <x:v>无</x:v>
      </x:c>
      <x:c r="N324" s="27" t="str">
        <x:v>成年大学生对小学生的特殊关注、明显年龄差与照护边界不对等；点心、指定服装和摄影语境；旅行与夜间寻找失物风险；家庭记忆、衰老和离别感伤。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作品分类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单元副线</x:v>
      </x:c>
      <x:c r="N325" s="27" t="str">
        <x:v>幻想战斗与受伤、未成年角色遇险、欺骗与心理操纵、家庭分离、世界危机与石化。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作品分类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高速短片、电影戏仿、夸张吐槽、碰撞与受伤笑料、身体和内衣玩笑、轻度性暗示；仅审字幕文字。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作品分类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高速短片、荒诞暴力与死亡笑料、胸部／内裤话题及未经同意的触摸台词。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作品分类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作品分类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正篇事实＋读者解读</x:v>
      </x:c>
      <x:c r="M329" s="30" t="str">
        <x:v>无成线情节；第 10 话仅有地方相亲旅游任务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作品分类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正篇事实＋强推断＋读者解读</x:v>
      </x:c>
      <x:c r="M330" s="30" t="str">
        <x:v>无</x:v>
      </x:c>
      <x:c r="N330" s="27" t="str">
        <x:v>女子乐队解散创伤、归属焦虑、隐瞒与关系操控、激烈争执、情绪崩溃、总集篇未完结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作品分类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正篇对白／官方资料／强推断／读者解读</x:v>
      </x:c>
      <x:c r="M331" s="30" t="str">
        <x:v>无</x:v>
      </x:c>
      <x:c r="N331" s="27" t="str">
        <x:v>高速对白、洗澡闯入、全裸、内裤、胸部与擦身笑料、夸张暴力和死亡表达、危险饮食、幽灵与混合性别集会误导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作品分类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作品分类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作品分类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读者解读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未成年人战斗、死亡与失去、记忆改写、身体代价、制度性献祭、末世威胁与情绪危机。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作品分类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作品分类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未知（未咲的喜欢对象性别未明）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作品分类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正篇事实／强推断／读者解读</x:v>
      </x:c>
      <x:c r="M339" s="30" t="str">
        <x:v>副线</x:v>
      </x:c>
      <x:c r="N339" s="27" t="str">
        <x:v>社会孤立、自杀企图相关叙述、危险游戏与高压卡牌战斗、分离、精神伤害与威胁性台词。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作品分类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作品分类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正篇事实＋强推断＋读者解读</x:v>
      </x:c>
      <x:c r="M341" s="30" t="str">
        <x:v>无</x:v>
      </x:c>
      <x:c r="N341" s="27" t="str">
        <x:v>舞台竞争与落选压力、人格化“Sense”的消失焦虑、儿童时期记忆与自我认同混乱、剧中剧的异性恋爱／接吻／死亡、职业年龄压力。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作品分类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作品分类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无具体关系线</x:v>
      </x:c>
      <x:c r="N343" s="27" t="str">
        <x:v>超现实肢体喜剧、内衣与身体边界笑料、泳衣／澡堂裸体笑料、高速感官负荷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作品分类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女性角色的裸露、性化服务与性骚扰场景、陨石灾害、战斗与武器、绑架和身体控制、主从契约与国家权力不对等、失踪和世界末日危机；阿莉卡与玛希萝的亲密关系可被读成恋爱，公开文字只支持到潜在恋爱。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作品分类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重要副线（蒂姬→亚当的单向明确欲望）</x:v>
      </x:c>
      <x:c r="N345" s="27" t="str">
        <x:v>高强度战斗、爆炸与重伤、死亡和创伤、战争与奴役、药物及精神控制、身体改造、大规模伤亡威胁。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作品分类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作品分类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正篇事实＋强推断＋读者解读</x:v>
      </x:c>
      <x:c r="M347" s="30" t="str">
        <x:v>副线，仅见局部异性恋意向与喜剧处理</x:v>
      </x:c>
      <x:c r="N347" s="27" t="str">
        <x:v>体重与身材焦虑、身体与肌肉的性化展示、泳装／服装笑料、运动过度与受伤风险笑料。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作品分类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正篇事实＋读者解读</x:v>
      </x:c>
      <x:c r="M348" s="30" t="str">
        <x:v>无</x:v>
      </x:c>
      <x:c r="N348" s="27" t="str">
        <x:v>竞技压力与过往受挫、社交媒体关注带来的负担、未成年人参加成人社群活动、运动疲劳和天气风险。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作品分类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作品分类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作品分类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感冒发热、魔法失控、生日筹备混乱、极短篇幅与快速音乐喜剧节奏。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作品分类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正篇事实／强推断／读者解读</x:v>
      </x:c>
      <x:c r="M353" s="30" t="str">
        <x:v>无</x:v>
      </x:c>
      <x:c r="N353" s="27" t="str">
        <x:v>自杀意念与自伤威胁、家庭死亡与溺水、猎食与身体恐怖语言、对身体自主权的威胁、记忆与身份痛苦、情感操控、奇幻暴力与严重心理痛苦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作品分类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事故、疾病、学校考核、嫉妒和敌对反应的喜剧化表达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作品分类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作品分类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食物匮乏、贫困与大食笑料；言语冲突及一处带血服装笑料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作品分类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作品分类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作品分类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柔道对抗与受伤、比赛失利、学业与家庭期待压力、性别角色笑谈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作品分类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作品分类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浴场／泳装画面、饮酒后失态的喜剧桥段、占术与怪异威胁、寻母与童年分离、童年女女亲吻被说成魔法问候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作品分类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作品分类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作品分类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作品分类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正篇事实＋强推断＋读者解读</x:v>
      </x:c>
      <x:c r="M365" s="30" t="str">
        <x:v>副线</x:v>
      </x:c>
      <x:c r="N365" s="27" t="str">
        <x:v>战争与军事占领、枪炮威胁、战争创伤与丧失、敌国偏见、疾病与儿童遇险、关于不伦与非婚生育的回忆叙事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作品分类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亲人去世、无住处与未成年人工作处境；年长角色对未成年角色的性骚扰和性化幻想作为反复笑料；饮酒；浴场、泳池与服务性画面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作品分类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追逐与嫉妒笑料、未经邀请的贴近与主从玩笑、性暗示用语、姐妹依恋竞争、夸张暴力笑料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作品分类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作品分类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作品分类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正篇事实／强推断／读者解读</x:v>
      </x:c>
      <x:c r="M370" s="30" t="str">
        <x:v>无</x:v>
      </x:c>
      <x:c r="N370" s="27" t="str">
        <x:v>高强度战斗、爆炸、重伤与死亡、身体控制和改造、家庭创伤、战争与世界毁灭威胁。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作品分类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作品分类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正篇事实＋强推断＋读者解读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作品分类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正篇事实＋读者解读</x:v>
      </x:c>
      <x:c r="M373" s="30" t="str">
        <x:v>副线</x:v>
      </x:c>
      <x:c r="N373" s="27" t="str">
        <x:v>未成年人自杀与自伤、校园霸凌、性暴力与成人侵害的叙述、身体意象与血腥战斗、饮食障碍和身体羞辱、家庭冲突、宠物死亡、跨性别角色遭受污名、哀伤与疑似师生越界。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作品分类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正篇字幕事实／基于上下文的推断／读者解读</x:v>
      </x:c>
      <x:c r="M374" s="30" t="str">
        <x:v>无</x:v>
      </x:c>
      <x:c r="N374" s="27" t="str">
        <x:v>校园丧尸灾难、咬伤、血迹、武器、爆炸、死亡与失去。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作品分类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英语字幕为主体未标的歌词轨；官方短片画面已核对，但不把脸红、同行或身体距离单独升级为双方交往；不要将 2018 年 OVA 或漫画内容倒灌进本短片。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作品分类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正篇事实＋强推断＋读者解读</x:v>
      </x:c>
      <x:c r="M376" s="30" t="str">
        <x:v>无</x:v>
      </x:c>
      <x:c r="N376" s="27" t="str">
        <x:v>自杀、死亡、性暴力相关叙述、意识控制、战争与枪声。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作品分类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作品分类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作品分类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正篇事实＋强推断＋读者解读</x:v>
      </x:c>
      <x:c r="M379" s="30" t="str">
        <x:v>政治求婚与婚约副线，无相互恋爱发展</x:v>
      </x:c>
      <x:c r="N379" s="27" t="str">
        <x:v>战争与占领、枪炮及轰炸、军民死亡、处决与灭口、异端审问和火刑叙述、人体实验与克隆、致命自我牺牲、政治宣传和对超常力量的工具化、身体化笑料与沐浴／更衣画面。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作品分类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正篇事实／强推断／读者解读</x:v>
      </x:c>
      <x:c r="M380" s="30" t="str">
        <x:v>无</x:v>
      </x:c>
      <x:c r="N380" s="27" t="str">
        <x:v>怪物袭击与危险、操控或腐化、乐队冲突与短暂分离、可能离别带来的情绪压力。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作品分类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幻想战斗与危机；学生之间未先商量的亲吻；魔法造成的短暂情感失常笑料；学校场景与轻度服务性画面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作品分类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作品分类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作品分类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跟踪式追随、家庭控制与隔离、反移民政治与拘留、职业压力、亲子冲突、疾病与丧失、威胁及非血腥暴力。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作品分类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作品分类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作品分类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作品分类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正篇事实、强推断、读者解读</x:v>
      </x:c>
      <x:c r="M388" s="30" t="str">
        <x:v>副线</x:v>
      </x:c>
      <x:c r="N388" s="27" t="str">
        <x:v>性暗示与洗浴笑料、局部裸露、性别变形与“男の娘”表述、儿童单向求婚、身体故障与伤害、职场和御宅文化戏仿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作品分类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作品分类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严重社交焦虑与失语、强势社团招募、慢性声带疾病与健康风险、校园冲突、朋友分离、单向告白与拒绝。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作品分类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作品分类</x:v>
      </x:c>
      <x:c r="D392" s="30" t="str">
        <x:v>缺席</x:v>
      </x:c>
      <x:c r="E392" s="30" t="str">
        <x:v>非恋爱</x:v>
      </x:c>
      <x:c r="F392" s="30" t="str">
        <x:v>单一主要关系记录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副线（局部单向好感）</x:v>
      </x:c>
      <x:c r="N392" s="27" t="str">
        <x:v>泳装与身材笑料、性别气质和选美笑话、BL 游戏话题、轻微夸张喜剧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作品分类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正篇／官方事实、强推断、读者解读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作品分类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学业与舞台压力、家庭限制、短暂失和、住宿与洗浴笑料、竞演焦虑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作品分类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作品分类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作品分类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竞赛压力、团队焦虑与意见分歧；亚子对燐子说出“I love you”，但关系语境与相互性未确认恋爱。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作品分类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主线</x:v>
      </x:c>
      <x:c r="C399" s="30" t="str">
        <x:v>读者解读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作品分类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作品分类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正篇事实＋强推断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读者解读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正篇事实＋强推断＋读者解读</x:v>
      </x:c>
      <x:c r="M402" s="30" t="str">
        <x:v>并行（含成人亲密与强迫／施害关系）</x:v>
      </x:c>
      <x:c r="N402" s="27" t="str">
        <x:v>18 禁成人向、性暴力与同意状态复杂、亲属关系与操纵、邪教献祭、血腥恐怖和身体伤害。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作品分类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正篇事实＋强推断＋读者解读</x:v>
      </x:c>
      <x:c r="M403" s="30" t="str">
        <x:v>无</x:v>
      </x:c>
      <x:c r="N403" s="27" t="str">
        <x:v>怪兽拟人化、变身、超能力失控、侵略计划、阵营战斗、城市危机与特摄式夸张破坏。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读者解读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正篇事实、强推断、读者解读</x:v>
      </x:c>
      <x:c r="M404" s="30" t="str">
        <x:v>主导</x:v>
      </x:c>
      <x:c r="N404" s="27" t="str">
        <x:v>中学生单恋与拒绝、包办相亲压力、校园排斥与同侪冲突、变身造成的身份混乱、超自然危机与分离焦虑、带性化意味的喜剧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作品分类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次要、局部且单向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作品分类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作品分类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副线</x:v>
      </x:c>
      <x:c r="N407" s="27" t="str">
        <x:v>怪物袭击、变身、死亡与血腥画面；绑架、囚禁和机构控制；药物致昏迷、束缚及失去或难以行使同意时的性化触碰；裸体与性行为；心理胁迫、背叛、丧亲与绝望。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作品分类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正篇事实／强推断／读者解读</x:v>
      </x:c>
      <x:c r="M408" s="30" t="str">
        <x:v>副线</x:v>
      </x:c>
      <x:c r="N408" s="27" t="str">
        <x:v>地下城战斗、怪物袭击、伤亡危险、谋杀未遂、少量身体玩笑、单向理想化与嫉妒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作品分类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副线（家庭安排婚姻压力，非展开男性恋爱）</x:v>
      </x:c>
      <x:c r="N409" s="27" t="str">
        <x:v>毕业与团体分离、三年级成员失联、家庭对未来的安排压力、离别和重聚。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作品分类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正篇事实＋强推断＋读者解读</x:v>
      </x:c>
      <x:c r="M410" s="30" t="str">
        <x:v>无</x:v>
      </x:c>
      <x:c r="N410" s="27" t="str">
        <x:v>家庭分离、龙族战争、战斗、儿童角色卷入危险、性化笑料与暗示性对白。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作品分类</x:v>
      </x:c>
      <x:c r="D411" s="30" t="str">
        <x:v>缺席</x:v>
      </x:c>
      <x:c r="E411" s="30" t="str">
        <x:v>非恋爱</x:v>
      </x:c>
      <x:c r="F411" s="30" t="str">
        <x:v>单一主要关系记录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—</x:v>
      </x:c>
      <x:c r="K411" s="30" t="str">
        <x:v>—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作品分类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正篇字幕事实／强推断／读者解读</x:v>
      </x:c>
      <x:c r="M412" s="30" t="str">
        <x:v>无</x:v>
      </x:c>
      <x:c r="N412" s="27" t="str">
        <x:v>服务义务、地区活动与舞台压力、创作分歧、合宿和温泉情境。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作品分类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作品分类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肢体恶作剧与校园闹剧、外貌／摄影笑料、学生角色间性玩笑与意外亲吻、单向男方恋爱笑料、家庭冲突与离家情节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作品分类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作品分类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作品分类</x:v>
      </x:c>
      <x:c r="D417" s="30" t="str">
        <x:v>主线</x:v>
      </x:c>
      <x:c r="E417" s="30" t="str">
        <x:v>明确女女交往关系</x:v>
      </x:c>
      <x:c r="F417" s="30" t="str">
        <x:v>单一主要关系记录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副线，含女主过去与男性约会及数条男性欲望／暴力支线，不取代主线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作品分类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正篇事实、强推断、读者解读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作品分类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正篇事实＋强推断＋读者解读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读者解读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作品分类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无；第 9 话的政治婚姻要求不是双方恋爱线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读者解读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作品分类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未知（指挥官性别未确认）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作品分类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作品分类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作品分类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正篇事实、强推断、读者解读</x:v>
      </x:c>
      <x:c r="M426" s="30" t="str">
        <x:v>无</x:v>
      </x:c>
      <x:c r="N426" s="27" t="str">
        <x:v>亲人死亡与哀伤、记忆缺失与身份困惑、朋友冲突与和解、掌掴、情绪困扰与分离、角色暂时消失。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作品分类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正篇事实、强推断、读者解读</x:v>
      </x:c>
      <x:c r="M427" s="30" t="str">
        <x:v>单元式副线</x:v>
      </x:c>
      <x:c r="N427" s="27" t="str">
        <x:v>无血缘姊妹欲望、睡眠状态下靠近嘴唇且接触／同意未确认、分离与嫉妒、奇幻暴力、性化呈现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作品分类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正篇事实／强推断／读者解读</x:v>
      </x:c>
      <x:c r="M428" s="30" t="str">
        <x:v>无</x:v>
      </x:c>
      <x:c r="N428" s="27" t="str">
        <x:v>高度性化裸露、性化身体接触和支配笑料、强迫服务、战斗受伤、魔法附身与控制、姐妹间占有、生命力吸取。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读者解读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作品分类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副线，优香对男性贵史的单向恋心集中于第 4 话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作品分类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作品分类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范围内未建立主要线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作品分类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作品分类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作品分类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作品分类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求生险境、脱水与落水救援、捕猎和食用动物／昆虫、救急口腔接触与侵入性补水笑料、体液和卫生话题、学生角色的身体与衣物相关笑料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读者解读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作品分类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作品分类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副线；有局部异性单恋提及</x:v>
      </x:c>
      <x:c r="N440" s="27" t="str">
        <x:v>家庭控制与短暂限制行动、亲人离散带来的情绪困扰、校园竞赛压力、严厉批评与人际冲突。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作品分类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作品分类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读者解读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未记录</x:v>
      </x:c>
      <x:c r="M443" s="30" t="str">
        <x:v>未记录</x:v>
      </x:c>
      <x:c r="N443" s="27" t="str">
        <x:v>未记录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作品分类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正篇事实／基于剧情结构的判断／读者解读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作品分类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作品分类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正篇事实／基于剧情结构的判断／读者解读</x:v>
      </x:c>
      <x:c r="M446" s="30" t="str">
        <x:v>无</x:v>
      </x:c>
      <x:c r="N446" s="27" t="str">
        <x:v>地下城奇幻战斗、死亡与复活设定、亲人失踪与早年丧失、犯罪团伙的同伴杀害、工作权力差与雇佣关系。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作品分类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创作截止压力、人物自我怀疑、恋爱／性别转换／攻受配对玩笑、活动前紧张与轻度校园喜剧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作品分类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作品分类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读者解读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作品分类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竞技与校园喜剧、轻度摔倒和追逐笑料、拟人化赛马设定、试胆与悬疑剧场、角色较多且单集关系短暂。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作品分类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作品分类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正篇事实＋强推断＋读者解读</x:v>
      </x:c>
      <x:c r="M453" s="30" t="str">
        <x:v>无</x:v>
      </x:c>
      <x:c r="N453" s="27" t="str">
        <x:v>性别呈现与身分隐瞒、记忆处理、夸张科幻威胁、未成年角色危险处境、带性／青春期暗示的喜剧。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作品分类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竞技压力与败北、运动伤痛、身体和内衣笑料、胸部相关笑话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作品分类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作品分类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无持续线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作品分类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作品分类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作品分类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作品分类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正篇与官方事实＋读者解读</x:v>
      </x:c>
      <x:c r="M460" s="30" t="str">
        <x:v>并行</x:v>
      </x:c>
      <x:c r="N460" s="27" t="str">
        <x:v>四段恋爱群像、第一段触摸乳房的提及与拒绝性语气、男校师生关系语境、同居表姐与少年、青春期身体变化。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作品分类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正篇事实＋强推断＋读者解读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作品分类</x:v>
      </x:c>
      <x:c r="D462" s="30" t="str">
        <x:v>主线</x:v>
      </x:c>
      <x:c r="E462" s="30" t="str">
        <x:v>明确女女交往关系</x:v>
      </x:c>
      <x:c r="F462" s="30" t="str">
        <x:v>单一主要关系记录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过去交往经历构成副线背景，不是终局关系</x:v>
      </x:c>
      <x:c r="N462" s="27" t="str">
        <x:v>非自愿窥视与掀裙、以泄露秘密相要挟、未经预先协商的接吻与脱衣、公开身体暴露、同学的性化议论和流言、前任出轨、社交孤立、自我否定与激烈争吵。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作品分类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作品分类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作品分类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读者解读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闹剧暴力、受伤与危险竞赛、未成年角色性化笑点、性别转换戏仿、露骨性用语和身体双关。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作品分类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正篇事实／基于剧情结构的判断／读者解读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作品分类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作品分类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心理创伤、社会孤立、友情破裂与失踪、平行世界战斗、枪炮刀刃伤害、死亡／自毁或自伤意象。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读者解读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并行</x:v>
      </x:c>
      <x:c r="N470" s="27" t="str">
        <x:v>成人向色情内容、露骨性描写、群体性行为、女性与男性欲望并置、花粉袭击设定及可能的同意不清；未作画面复核。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作品分类</x:v>
      </x:c>
      <x:c r="D471" s="30" t="str">
        <x:v>主线</x:v>
      </x:c>
      <x:c r="E471" s="30" t="str">
        <x:v>明确女女交往关系</x:v>
      </x:c>
      <x:c r="F471" s="30" t="str">
        <x:v>单一主要关系记录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强制婚约与决斗所有权制度、校园霸凌和阶级歧视、企业胁迫与政治暴力、人体实验、父母操纵、战争与死亡、结尾出现具冲击力的碾压死亡及核心关系创伤。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作品分类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作品分类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作品分类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作品分类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正篇事实、强推断、读者解读</x:v>
      </x:c>
      <x:c r="M475" s="30" t="str">
        <x:v>副线</x:v>
      </x:c>
      <x:c r="N475" s="27" t="str">
        <x:v>未成年人受超自然试炼与操控、心理困扰、进食困难、自杀风险、成人—未成年人权力差、危险与受伤、变身／沐浴呈现。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作品分类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正篇事实／强推断／读者解读</x:v>
      </x:c>
      <x:c r="M476" s="30" t="str">
        <x:v>副线</x:v>
      </x:c>
      <x:c r="N476" s="27" t="str">
        <x:v>幻想战斗、伤残与创伤、角色死亡、歧视与政治暴力、家庭控制、Blake—Sun 异性吸引／追求语境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作品分类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正篇事实／强推断</x:v>
      </x:c>
      <x:c r="M477" s="30" t="str">
        <x:v>无</x:v>
      </x:c>
      <x:c r="N477" s="27" t="str">
        <x:v>校园祭群像、恋足癖笑料、轻度裸露与其他性化笑料。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作品分类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极短篇喜剧、食物与季节活动、成员吐槽和近距离玩笑；本档案不混入 TV 动画的冲突与关系发展。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非百合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作品分类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作品分类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读者解读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作品分类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无持续现实层恋爱线；含相亲、架空男友与角色扮演笑料</x:v>
      </x:c>
      <x:c r="N483" s="27" t="str">
        <x:v>成人恋爱与性话题笑料、相席联谊、饮酒与宿醉、澡堂裸露／搓背／按摩、超现实与元叙事。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作品分类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强推断＋读者解读</x:v>
      </x:c>
      <x:c r="M484" s="30" t="str">
        <x:v>副线</x:v>
      </x:c>
      <x:c r="N484" s="27" t="str">
        <x:v>成人向露骨性描写、囚禁、性暴力、强迫、群体性行为、futanari 与同意状态不明。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正篇事实＋强推断＋读者解读</x:v>
      </x:c>
      <x:c r="M485" s="30" t="str">
        <x:v>重要副线</x:v>
      </x:c>
      <x:c r="N485" s="27" t="str">
        <x:v>家庭分离与失落、父母遗产、森林与海洋危险、洪水威胁、殖民历史与战争责任、异性恋求婚。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读者解读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奇幻暴力、死亡与失落、胁迫及失去自主、性化呈现、姐妹间单向恋爱与性化欲望、未获回应的追求与占有式语言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作品分类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作品分类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作品分类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作品分类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作品分类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作品分类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作品分类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作品分类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高原乡镇、父母旅店、夜间骑行、海边出行、分离与同学音乐创作；仅作英语字幕文本复核。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作品分类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作品分类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正篇事实、强推断、读者解读</x:v>
      </x:c>
      <x:c r="M496" s="30" t="str">
        <x:v>无</x:v>
      </x:c>
      <x:c r="N496" s="27" t="str">
        <x:v>梦境、校园异变、成员疑似生病与短暂失联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作品分类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作品分类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作品分类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作品分类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正篇字幕事实／官方表述／数据库标签／读者解读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作品分类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正篇字幕事实／基于结构的推断／读者解读</x:v>
      </x:c>
      <x:c r="M501" s="30" t="str">
        <x:v>无（本范围未建立取代女女关系主线的男性恋爱线）</x:v>
      </x:c>
      <x:c r="N501" s="27" t="str">
        <x:v>战争、空战、少女参战、负伤与死亡威胁、姐妹照护责任、喜剧式单向女女约会提议。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作品分类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作品分类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副线</x:v>
      </x:c>
      <x:c r="N503" s="27" t="str">
        <x:v>跟随式追逐、反复邀约被拒、把拉面激情与亲密关系并置、同学和男性邀约笑料、无确认的双向恋爱。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作品分类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无持续线</x:v>
      </x:c>
      <x:c r="N504" s="27" t="str">
        <x:v>高中生泳装与服装笑料、夸张肢体喜剧、崇拜和吃醋被处理成喜剧、社交紧张与舞台压力。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作品分类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作品分类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作品分类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正篇字幕事实＋上下文推断＋读者解读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作品分类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正篇事实／读者解读</x:v>
      </x:c>
      <x:c r="M508" s="30" t="str">
        <x:v>无</x:v>
      </x:c>
      <x:c r="N508" s="27" t="str">
        <x:v>架空战争、战斗危险、军队命令与训练压力、裸露及内衣式制服、洗浴与身体笑料、姐妹离别和受伤威胁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作品分类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读者解读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作品分类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作品分类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正篇事实＋强推断＋读者解读</x:v>
      </x:c>
      <x:c r="M513" s="30" t="str">
        <x:v>副线</x:v>
      </x:c>
      <x:c r="N513" s="27" t="str">
        <x:v>偶像活动压力、宿舍拆除危机、对衣乃的过度追随、内衣和身体笑料、未成年角色的性化喜剧、姐妹冲突与团队竞争。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作品分类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次要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作品分类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魔法机甲竞赛、少女受伤与淘汰、记忆／存在操控、家族压力、嫉妒、牺牲与开放性结尾。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作品分类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作品分类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作品分类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作品分类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作品分类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作品分类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校园谣言、嫉妒、权力与照护不对称、短暂男性交往与相亲喜剧。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作品分类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作品分类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正篇事实＋强推断＋读者解读</x:v>
      </x:c>
      <x:c r="M523" s="30" t="str">
        <x:v>无；结婚幻想只作为人物动机</x:v>
      </x:c>
      <x:c r="N523" s="27" t="str">
        <x:v>角色扮演与现实感情混淆、单向恋爱与嫉妒、公开表演中的争执、过往恋人关系破裂、校园排斥与孤独、对“恋爱会破坏群体”的争论。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作品分类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正篇事实＋强推断＋读者解读</x:v>
      </x:c>
      <x:c r="M524" s="30" t="str">
        <x:v>副线</x:v>
      </x:c>
      <x:c r="N524" s="27" t="str">
        <x:v>吸血与失血、身体边界笑点、催眠和成人研究权力、追捕暴力、家族强加婚约。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作品分类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作品分类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医疗与手术支援、考试压力、师徒权力差异、嫉妒和短暂分离。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作品分类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正篇字幕事实、基于上下文的推断、读者解读</x:v>
      </x:c>
      <x:c r="M527" s="30" t="str">
        <x:v>无（另有平行世界的非互惠婚约冲突）</x:v>
      </x:c>
      <x:c r="N527" s="27" t="str">
        <x:v>平行世界灾难与战斗、哥哥失踪和创伤、强制婚约、泳装／内衣与身体发育笑料及TV／手机游戏边界。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作品分类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作品分类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读者解读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作品分类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作品分类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正篇事实／强推断／读者解读</x:v>
      </x:c>
      <x:c r="M532" s="30" t="str">
        <x:v>并列</x:v>
      </x:c>
      <x:c r="N532" s="27" t="str">
        <x:v>绑架与非法拘禁、黑暗魔法、家庭创伤、嫉妒与占有式玩笑、婚约及多角告白、角色对过去创伤的回忆。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作品分类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作品分类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作品分类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现实职场过劳、异世界战斗与喜剧化暴力、角色数据覆盖和人格消失风险、师徒／教学关系及年龄与经验差异。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作品分类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战斗、杀戮游戏、血迹、死亡威胁、报复、女性角色性化设计；字幕文本已核对，未作视频视听复核。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作品分类</x:v>
      </x:c>
      <x:c r="D537" s="30" t="str">
        <x:v>主线</x:v>
      </x:c>
      <x:c r="E537" s="30" t="str">
        <x:v>明确女女交往关系</x:v>
      </x:c>
      <x:c r="F537" s="30" t="str">
        <x:v>单一主要关系记录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</x:v>
      </x:c>
      <x:c r="M537" s="30" t="str">
        <x:v>早期重要副线，工具性、非互惠且非终局</x:v>
      </x:c>
      <x:c r="N537" s="27" t="str">
        <x:v>没有预先询问或伴随挣扎声的接吻、亲密动作中的非语言／不明确许可、师生权力利用、工具性婚约、以照片胁迫接触陌生成年人、因父母再婚形成的继姐妹恋爱、嫉妒与操纵、针对同性欲望的污名化措辞、涉及未成年角色的性话题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作品分类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作品分类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作品分类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作品分类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正篇事实＋强推断＋读者解读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作品分类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正篇事实／强推断／读者解读</x:v>
      </x:c>
      <x:c r="M542" s="30" t="str">
        <x:v>无</x:v>
      </x:c>
      <x:c r="N542" s="27" t="str">
        <x:v>创作压力、比赛失落、亡母记忆与家庭传承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读者解读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并行</x:v>
      </x:c>
      <x:c r="N543" s="27" t="str">
        <x:v>成人向露骨性描写、鬼魂与校园设定、女性间性化互动、异性恋慕、变性／双性特征、触手及可能的同意状态不明；未作画面复核。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作品分类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作品分类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作品分类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作品分类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记忆硬币与高压卡牌战斗、失忆和人格／身体置换、校园孤立与家庭经济压力、操控和强迫参战、铃子—千夏的依赖与决裂、少女角色的暴力和死亡风险、男性角色对白井对千夏的单向倾慕。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作品分类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次要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作品分类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作品分类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作品分类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正篇事实、强推断与读者解读</x:v>
      </x:c>
      <x:c r="M551" s="30" t="str">
        <x:v>副线</x:v>
      </x:c>
      <x:c r="N551" s="27" t="str">
        <x:v>成人向性化、暴力、绑架与精神操控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读者解读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作品分类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成人向裸露、爆衣与战败羞辱、格斗伤害和死亡威胁、绑架拷问、人质处境、精神操控、龙之力导致的非自愿战斗、曹操对关羽的占有式执着与权力不对等。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作品分类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作品分类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正篇事实＋读者解读</x:v>
      </x:c>
      <x:c r="M555" s="30" t="str">
        <x:v>次要（诗织—伸吾的明确婚姻）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作品分类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作品分类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战斗、怪物攻击、毒、身体变形喜剧、公会竞争。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作品分类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短篇喜剧、角色被排斥的回忆、料理失败与身体笑料。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作品分类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正篇事实／强推断／读者解读</x:v>
      </x:c>
      <x:c r="M560" s="30" t="str">
        <x:v>无</x:v>
      </x:c>
      <x:c r="N560" s="27" t="str">
        <x:v>激烈乐队争执、粗口和攻击性手势；家庭再婚与阶层压力；继姐妹敌意；舞台竞争、失败、退队威胁与自我价值否定；夸张支配／服从玩笑、性化镜头与性骚扰情节。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作品分类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正篇事实＋强推断＋读者解读</x:v>
      </x:c>
      <x:c r="M561" s="30" t="str">
        <x:v>副线（家庭、权力与含混情感材料未取代女女主线）</x:v>
      </x:c>
      <x:c r="N561" s="27" t="str">
        <x:v>科幻战斗、爆炸和死亡威胁；记忆植入、洗脑、复制人与身体实验；未成年外观角色的泳装／内衣服务性画面；短暂单向迷恋与嫉妒；迪亚的能力增幅亲吻；兄妹式关系和男性控制。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作品分类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无（另有无名男性路人的前女友插入笑料）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作品分类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作品分类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作品分类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正篇资料＋强推断＋读者解读</x:v>
      </x:c>
      <x:c r="M565" s="30" t="str">
        <x:v>无</x:v>
      </x:c>
      <x:c r="N565" s="27" t="str">
        <x:v>未成年格斗、重击伤害、孤儿与收养、校园欺凌、魔法变身、身体展示。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作品分类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作品分类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作品分类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战争与空战、年轻女武神参战、负伤与死亡、姐姐死亡后的哀伤、神祇操纵、泳装战斗和身体凝视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作品分类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高速吐槽、胸部与内衣笑料、如厕与身体尴尬、强行亲近的喜剧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作品分类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作品分类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作品分类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作品分类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作品分类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作品分类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作品分类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作品分类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魔法军事战斗、未成年角色参战、模拟射击、内衣式服装与服务性画面。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作品分类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作品分类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作品分类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作品分类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作品分类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作品分类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读者解读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作品分类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正篇事实＋强推断＋读者解读</x:v>
      </x:c>
      <x:c r="M585" s="30" t="str">
        <x:v>无</x:v>
      </x:c>
      <x:c r="N585" s="27" t="str">
        <x:v>未成年战斗员与军事化教育、怪物袭击和战斗伤害、重要人物死亡与长期哀恸、失控状态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读者解读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作品分类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正篇事实＋强推断＋读者解读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成人向裸露与性化接触、以性刺激触发战斗、监禁与强迫风险、身体控制、创伤、暴力和权力不对等。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作品分类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正篇书面事实＋强推断＋读者解读</x:v>
      </x:c>
      <x:c r="M588" s="30" t="str">
        <x:v>无</x:v>
      </x:c>
      <x:c r="N588" s="27" t="str">
        <x:v>病毒清除、失忆、虚拟世界、身份揭示、分离与牺牲。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作品分类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作品分类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作品分类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作品分类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正篇事实／强推断／读者解读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读者解读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作品分类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家庭式共同生活、象征性姐妹婚礼、佩可拉的独占式生日邀请、异世界战斗与轻度身体喜剧；这些元素不等同于正式交往。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作品分类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魔物袭击、战斗伤害、死亡与消失、亲属创伤、嫉妒和精神操纵、恶魔化身体变化、未成年少女承担处刑任务。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作品分类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末世与人类可能灭绝、危险骑行和坠落、暴风雨与洪水、动物袭击、枪械及生存风险、AI 维修故障、孤独与死亡记忆。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作品分类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正篇资料＋强推断＋读者解读</x:v>
      </x:c>
      <x:c r="M597" s="30" t="str">
        <x:v>副线</x:v>
      </x:c>
      <x:c r="N597" s="27" t="str">
        <x:v>无对白叙事、对未成年女高中生腿部／湿衣的镜头化性化笑料、男性角色的单集凝视与笨拙接近、轻微身体危险与日常恶作剧。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作品分类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读者解读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超能力战斗、绑架、药物强化、能力实验、家庭排斥与自我消失愿望、失去身体及姐妹失联恐惧、身体检查相关性化玩笑。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作品分类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作品分类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作品分类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作品分类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刀剑战斗、荒魂伤害与追捕、医疗休养、敌我身份冲突、短篇结尾的悬念。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作品分类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读者解读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正篇事实＋读者解读</x:v>
      </x:c>
      <x:c r="M605" s="30" t="str">
        <x:v>副线</x:v>
      </x:c>
      <x:c r="N605" s="27" t="str">
        <x:v>成人向裸露与性化服务、衣物破坏、非合意触摸、姐妹间性化玩笑、拘束、忍者与妖魔战斗、创伤及家族冲突。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作品分类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作品分类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作品分类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正篇事实、强推断、读者解读</x:v>
      </x:c>
      <x:c r="M608" s="30" t="str">
        <x:v>无</x:v>
      </x:c>
      <x:c r="N608" s="27" t="str">
        <x:v>运动压力、停部经历、触身球与其他棒球伤害风险、战术责任和比赛失利。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作品分类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运动失败与自我怀疑、户外活动、短篇信息密度有限；已复核角色对白未见明确恋爱或身份明示，未作画面复核。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作品分类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作品分类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作品分类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作品分类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副线</x:v>
      </x:c>
      <x:c r="N613" s="27" t="str">
        <x:v>战争、吸血、死亡、悲剧性告别、年龄与权力差异。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作品分类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作品分类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作品分类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作品分类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末世化喜剧、反复谋杀企图与惩罚、独裁戏仿、强制性同居、地方宣传与夸张暴力笑料。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作品分类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生存游戏枪械与比赛受伤、团队冲突与心理失衡、泳装／洗浴等服务性演出。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作品分类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话为字幕文本复核，未回看视频。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作品分类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作品分类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作品分类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正篇字幕事实＋强推断＋读者解读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主线</x:v>
      </x:c>
      <x:c r="C623" s="30" t="str">
        <x:v>作品分类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正篇关系事实＋强推断＋读者解读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作品分类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作品分类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作品分类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男性化变身外形、性别表现混淆、偶像压力、绑架威胁、魔法战斗与身体笑料。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主线</x:v>
      </x:c>
      <x:c r="C628" s="30" t="str">
        <x:v>作品分类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作品分类</x:v>
      </x:c>
      <x:c r="D629" s="30" t="str">
        <x:v>重要副线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是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校园日常、社团与比赛、泳装及身体笑料、英语字幕中的恋爱词汇与摄影语境并置。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作品分类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正篇字幕事实＋强推断＋读者解读</x:v>
      </x:c>
      <x:c r="M630" s="30" t="str">
        <x:v>无</x:v>
      </x:c>
      <x:c r="N630" s="27" t="str">
        <x:v>精神痛苦、情绪操纵、家庭分离、失去与哀恸、战斗伤害。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主线</x:v>
      </x:c>
      <x:c r="C631" s="30" t="str">
        <x:v>作品分类</x:v>
      </x:c>
      <x:c r="D631" s="30" t="str">
        <x:v>局部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作品分类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社团冲突、沟通障碍、舞台压力、成员去留与大学组合竞争；爱莉—玲音未确认交往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继兄妹恋爱语境、幽灵附身与共用身体、非对等身体边界、性化台词和笑料、性化服饰／装置。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读者解读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未成年角色的内衣与身体话题、偷窥／偷拍笑料、身体羞辱、接触边界和青春期羞耻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作品分类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正篇字幕事实／强推断／读者解读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作品分类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作品分类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正篇事实／强推断／读者解读</x:v>
      </x:c>
      <x:c r="M637" s="30" t="str">
        <x:v>副线</x:v>
      </x:c>
      <x:c r="N637" s="27" t="str">
        <x:v>脱衣、内衣、胸部与性暗示笑料，强迫摆接吻姿势，剧中女女告白。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作品分类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异世界战斗、照护与贫困、儿童危险、服务性镜头、亲密关系未确认。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作品分类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作品分类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读者解读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作品分类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正篇英语文本＋官方资料＋有限推断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作品分类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成人向露骨性主题、触手寄生、身体控制、强迫与威胁、性暴力和同意边界问题。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作品分类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作品分类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正篇事实／强推断／读者解读</x:v>
      </x:c>
      <x:c r="M645" s="30" t="str">
        <x:v>无</x:v>
      </x:c>
      <x:c r="N645" s="27" t="str">
        <x:v>成人向裸露与性化呈现、偷窥和误入私密空间、女女后宫式追求、竞争与吃醋、喜剧化的身体接触与同意边界。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作品分类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字幕文字中未建立（男性角色主要承担政治、军队和喜剧功能）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作品分类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正篇事实／强推断／读者解读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作品分类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作品分类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战争与海战、舰娘受伤与沉没、同伴失踪和悲伤、强制作战、深海栖舰。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读者解读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作品分类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读者解读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职场压力、身份暴露风险、网络围攻与声优行业竞争；第 3 话身体距离笑料、第 10 话模拟告白，不等于恋爱确认。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读者解读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正篇事实＋强推断＋读者解读</x:v>
      </x:c>
      <x:c r="M654" s="30" t="str">
        <x:v>无</x:v>
      </x:c>
      <x:c r="N654" s="27" t="str">
        <x:v>超级英雄战斗、城市灾难、创伤与失去、家庭冲突、身体伤害、反派操控、恐惧扩散；已检索完整日文字幕，未作画面复核。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作品分类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正篇事实、强推断、读者解读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作品分类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作品分类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读者解读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读者解读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作品分类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正篇字幕事实、基于上下文的推断、读者解读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作品分类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正篇事实＋强推断＋读者解读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作品分类</x:v>
      </x:c>
      <x:c r="D663" s="30" t="str">
        <x:v>局部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读者解读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战斗伤害、操控与背叛、身份与家园危机。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读者解读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正篇事实＋强推断＋读者解读</x:v>
      </x:c>
      <x:c r="M665" s="30" t="str">
        <x:v>无</x:v>
      </x:c>
      <x:c r="N665" s="27" t="str">
        <x:v>超级英雄战斗、火灾与伤害、亲人死亡、贫困、母女告别、幸存者内疚、操控与情绪失控；日文字幕覆盖完整，未作视频复核。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作品分类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作品分类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正篇事实、强推断与读者解读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读者解读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作品分类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作品分类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作品分类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作品分类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重要副线中的单向潜在恋爱指向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作品分类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怪物与武器战斗、恶梦与昏迷风险、歧视及家庭压迫。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作品分类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作品分类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正篇事实／读者解读</x:v>
      </x:c>
      <x:c r="M676" s="30" t="str">
        <x:v>无</x:v>
      </x:c>
      <x:c r="N676" s="27" t="str">
        <x:v>麻将竞赛、日常调侃、家庭争执和生日礼物的浪漫化玩笑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作品分类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作品分类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作品分类</x:v>
      </x:c>
      <x:c r="D679" s="30" t="str">
        <x:v>主线</x:v>
      </x:c>
      <x:c r="E679" s="30" t="str">
        <x:v>明确女女恋爱欲望</x:v>
      </x:c>
      <x:c r="F679" s="30" t="str">
        <x:v>多组异质关系</x:v>
      </x:c>
      <x:c r="G679" s="30" t="str">
        <x:v>只有明确关系／欲望事实，无身份自述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作品分类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正篇字幕事实、强推断与读者解读分列</x:v>
      </x:c>
      <x:c r="M680" s="30" t="str">
        <x:v>无主导线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作品分类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正篇事实＋强推断＋读者解读</x:v>
      </x:c>
      <x:c r="M681" s="30" t="str">
        <x:v>无</x:v>
      </x:c>
      <x:c r="N681" s="27" t="str">
        <x:v>网络攻击与身份曝光、偶像产业与亲子控制、公开羞辱和校园排斥、针对性别呈现的嘲弄、创作劳动被利用、朋友间尖锐争吵、醉酒语境中的亲密行为。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作品分类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作品分类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作品分类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循环、强制控制、严重暴力、心理伤害、学生孤立与恋爱关系中的威胁。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读者解读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作品分类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竞赛压力、伤病与状态低落、退役与分离感、恋爱化的竞争比喻。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主线</x:v>
      </x:c>
      <x:c r="C687" s="30" t="str">
        <x:v>读者解读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作品分类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副线；丽奈对泷老师的单方爱恋明确出现</x:v>
      </x:c>
      <x:c r="N688" s="27" t="str">
        <x:v>师生权力差异下的单方爱恋、选拔落选、竞争压力、毕业与远距离分离。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作品分类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正篇事实／强推断／读者解读</x:v>
      </x:c>
      <x:c r="M689" s="30" t="str">
        <x:v>无</x:v>
      </x:c>
      <x:c r="N689" s="27" t="str">
        <x:v>海战、伤害与失踪、心理危机、姐妹式依附、浴场场景。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作品分类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读者解读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作品分类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</x:v>
      </x:c>
      <x:c r="M692" s="30" t="str">
        <x:v>副线（既有婚姻与丧妻家庭线）</x:v>
      </x:c>
      <x:c r="N692" s="27" t="str">
        <x:v>末世战争、死亡与遗体、强迫改造、单向占有与性暴力威胁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作品分类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作品分类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作品分类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正篇事实／强推断／读者解读</x:v>
      </x:c>
      <x:c r="M695" s="30" t="str">
        <x:v>无</x:v>
      </x:c>
      <x:c r="N695" s="27" t="str">
        <x:v>带性暗示的 ASMR 笑料、亲吻游戏、未完成的感情表达，以及成年教师对学生的身体评论与单向性化示好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正篇事实／强推断／读者解读</x:v>
      </x:c>
      <x:c r="M696" s="30" t="str">
        <x:v>副线</x:v>
      </x:c>
      <x:c r="N696" s="27" t="str">
        <x:v>失散、失忆、妖怪战斗、受伤与单向告白。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作品分类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作品分类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战争、兵器、死亡威胁、时间穿越、家庭压力及羞辱性或喜剧化恋爱表达。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作品分类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正篇事实／强推断／读者解读</x:v>
      </x:c>
      <x:c r="M699" s="30" t="str">
        <x:v>无</x:v>
      </x:c>
      <x:c r="N699" s="27" t="str">
        <x:v>告白、交往压力、失恋、关系争执、交通事故死亡、哀悼与乐队竞争。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作品分类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493638b4a77483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比较快照日期：2026-08-08。0、无精确条目、未知、所核未见和资料不足不是同一个状态。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2026-08-08</x:v>
      </x:c>
    </x:row>
    <x:row r="22" ht="31.5" customHeight="1">
      <x:c r="A22" s="27" t="str">
        <x:v>数据库源 SHA-256</x:v>
      </x:c>
      <x:c r="B22" s="27" t="str">
        <x:v>b9a25747acd45fda8b1d87350e7a56cf3062296d7bad0012f22b0a40395e8b4b</x:v>
      </x:c>
    </x:row>
    <x:row r="23" ht="31.5" customHeight="1">
      <x:c r="A23" s="27" t="str">
        <x:v>发布计划 SHA-256</x:v>
      </x:c>
      <x:c r="B23" s="27" t="str">
        <x:v>7420b93fc431cba1af71cb213eeb4a55e0a809716b4de5383041cbd46c00e528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