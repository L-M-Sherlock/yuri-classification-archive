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e40be67c2f45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79f1365e58a14abc"/>
    <x:sheet xmlns:r="http://schemas.openxmlformats.org/officeDocument/2006/relationships" name="说明与来源" sheetId="2" r:id="R752dd0d741c345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3eb85266604e7d" /><Relationship Type="http://schemas.openxmlformats.org/officeDocument/2006/relationships/theme" Target="/xl/theme/theme1.xml" Id="R4f8640e37c87413b" /><Relationship Type="http://schemas.openxmlformats.org/officeDocument/2006/relationships/sharedStrings" Target="/xl/sharedStrings.xml" Id="R496972b7dcea4133" /><Relationship Type="http://schemas.openxmlformats.org/officeDocument/2006/relationships/worksheet" Target="/xl/worksheets/sheet1.xml" Id="R79f1365e58a14abc" /><Relationship Type="http://schemas.openxmlformats.org/officeDocument/2006/relationships/worksheet" Target="/xl/worksheets/sheet2.xml" Id="R752dd0d741c34525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a502dceb6a479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文类内百合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文类内百合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正篇事实／强推断／读者解读</x:v>
      </x:c>
      <x:c r="M63" s="30" t="str">
        <x:v>无</x:v>
      </x:c>
      <x:c r="N63" s="27" t="str">
        <x:v>升学考试压力、毕业与分离焦虑、害羞推拉、身体与饮食笑料。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文类内百合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正篇事实／强推断／读者解读</x:v>
      </x:c>
      <x:c r="M115" s="30" t="str">
        <x:v>无</x:v>
      </x:c>
      <x:c r="N115" s="27" t="str">
        <x:v>魔女受迫害历史再现、校园惩罚与公开嘲弄、同伴争吵与绝交措辞、巨人出现与魔法危机。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正篇事实／强推断／读者解读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儿童虐待与忽视、强行带走与不稳定照料、持枪暴力、犯罪组织、监禁与逃亡、绑架、以未成年人为威胁对象。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文类内百合</x:v>
      </x:c>
      <x:c r="D142" s="30" t="str">
        <x:v>主线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故事／角色页、可见宣传</x:v>
      </x:c>
      <x:c r="L142" s="30" t="str">
        <x:v>正篇事实＋强推断＋读者解读</x:v>
      </x:c>
      <x:c r="M142" s="30" t="str">
        <x:v>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文类内百合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正篇事实／强推断</x:v>
      </x:c>
      <x:c r="M143" s="30" t="str">
        <x:v>无</x:v>
      </x:c>
      <x:c r="N143" s="27" t="str">
        <x:v>奇幻暴力、未成年人遇险、校园欺凌、受制状态下的强迫约会要求、诅咒变形、控制型家长、家庭分离、监禁及石化威胁。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文类内百合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正篇事实／强推断／读者解读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文类内百合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父亲去世与遗物相机带来的回忆和悲伤、迁居、重新交友与创作焦虑；具体身体或亲密场面因缺少完整字幕和视听材料无法穷尽。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文类内百合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女大学生对小学五年级儿童的一见钟情式迷恋；甜点换穿服装及拍照；拒绝或限制后继续请求、连拍与偷拍；成人同龄人的长期观察与尾随。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正篇事实／强推断／读者解读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军事组织、未成年战斗与重伤、人工生命、囚禁、身体改造和创伤。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奇幻战斗、儿童与青少年遇险、时间停止、记忆丧失、亲子分离、胁迫与世界危机。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文类外百合阅读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正篇事实＋强推断＋读者解读</x:v>
      </x:c>
      <x:c r="M229" s="30" t="str">
        <x:v>副线</x:v>
      </x:c>
      <x:c r="N229" s="27" t="str">
        <x:v>空战、枪炮、坠机与伤亡风险，政治强迫与宣传，饮酒，异性调情、求婚及失败婚姻笑料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正篇事实／强推断</x:v>
      </x:c>
      <x:c r="M233" s="30" t="str">
        <x:v>无</x:v>
      </x:c>
      <x:c r="N233" s="27" t="str">
        <x:v>亲生双胞胎姐妹的恋爱方向、血亲题材、自动字幕证据限制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正篇事实／强推断／读者解读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文类内百合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文类内百合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露骨性双关、色情书与性工作笑料、未成年少女性化、冒充亲属、边界侵犯、非自愿干预与长期昏睡。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正篇事实／强推断／读者解读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文类内百合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正篇事实／强推断／读者解读</x:v>
      </x:c>
      <x:c r="M284" s="30" t="str">
        <x:v>无</x:v>
      </x:c>
      <x:c r="N284" s="27" t="str">
        <x:v>旧乐队解散、关系操控、强烈依赖、排斥、情绪崩溃与舞台表演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殴打、飞刀、关节技、暗杀威胁、强行靠近与恶作剧被作为动作喜剧笑点；未作画面复核。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范围内版本</x:v>
      </x:c>
      <x:c r="K299" s="30" t="str">
        <x:v>可见宣传</x:v>
      </x:c>
      <x:c r="L299" s="30" t="str">
        <x:v>正篇事实／强推断／读者解读</x:v>
      </x:c>
      <x:c r="M299" s="30" t="str">
        <x:v>副线</x:v>
      </x:c>
      <x:c r="N299" s="27" t="str">
        <x:v>僵尸灾难、感染、死亡、血腥与武器、创伤性否认、同伴处置困境、教师与犬只死亡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文类内百合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突然逼近与试图亲吻、无视连续拒绝的强迫亲密、创伤性错认、单向感情与占有、情感操纵、重病与死亡、长期哀伤、骑马事故与失忆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文类内百合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短篇喜剧将亲密互动压缩为笑点；侑与步梦有特殊幼驯染读法；“妹妹”游戏、竞争和恶作剧会夸张呈现关系边界。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文类内百合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文类外百合阅读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正篇事实／读者解读</x:v>
      </x:c>
      <x:c r="M315" s="30" t="str">
        <x:v>主导</x:v>
      </x:c>
      <x:c r="N315" s="27" t="str">
        <x:v>性侵或性侵未遂、未成年角色性化裸露、控制与政治暴力、朋友背叛、角色死亡、战争、失忆、年龄及权力差恋爱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</x:v>
      </x:c>
      <x:c r="N321" s="27" t="str">
        <x:v>高速对白、荒诞肢体笑料、身体与性暗示笑料、竞争与追逐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文类内百合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高速对白、洗澡闯入、全裸、内裤、胸部与擦身笑料、夸张暴力和死亡表达、危险饮食、幽灵及混合性别集会误导。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文类内百合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文类外百合阅读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未成年人战斗、同伴死亡与失踪、身体损失、制度性献祭、创伤及情绪崩溃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文类内百合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文类内百合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文类外百合阅读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正篇事实／强推断／读者解读</x:v>
      </x:c>
      <x:c r="M347" s="30" t="str">
        <x:v>副线</x:v>
      </x:c>
      <x:c r="N347" s="27" t="str">
        <x:v>体重与身材焦虑、身体与肌肉的性化展示、泳装／服装笑料、运动过度与受伤风险笑料、局部异性恋意向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正篇事实／强推断／读者解读</x:v>
      </x:c>
      <x:c r="M348" s="30" t="str">
        <x:v>无</x:v>
      </x:c>
      <x:c r="N348" s="27" t="str">
        <x:v>运动挫折、社交媒体压力、年龄与经验差异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文类内百合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正篇事实／强推断／读者解读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卖弄身体与裸露笑料、身体与生理讨论、未成年人置于暧昧或浴室语境、族群歧视与威权政治讽喻、战争及大规模迫害暗示、儿童照护与疾病。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浴场与泳装画面、饮酒失态喜剧、占术怪异与轻度幻想危机、寻母与童年分离、童年女女亲吻被称为魔法问候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正篇事实／强推断／读者解读</x:v>
      </x:c>
      <x:c r="M374" s="30" t="str">
        <x:v>无</x:v>
      </x:c>
      <x:c r="N374" s="27" t="str">
        <x:v>校园丧尸灾难、咬伤、血迹、武器、爆炸、死亡与同伴失去。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英语字幕是主体未标的歌词轨；完整短片画面已经核对，但脸红、同行或身体距离不单独证明恋爱回应或交往；2018 年 OVA 与漫画不在范围内。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幻想战斗与危机、学生之间突如其来的亲吻、魔法造成的短暂情感失常笑料、学校场景与轻度服务性画面。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文类外百合阅读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文类内百合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学业与舞台压力、家庭规划限制、成员短暂失和、住宿与洗浴笑料、竞演焦虑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文类内百合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副线</x:v>
      </x:c>
      <x:c r="N407" s="27" t="str">
        <x:v>怪物暴力、血腥与死亡；绑架、囚禁、机构控制、药物致昏迷、束缚、难以行使同意时的性化触碰、裸体、性暴力威胁、心理胁迫、丧亲与绝望。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文类内百合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正篇事实＋强推断＋读者解读</x:v>
      </x:c>
      <x:c r="M408" s="30" t="str">
        <x:v>副线</x:v>
      </x:c>
      <x:c r="N408" s="27" t="str">
        <x:v>地下城战斗、怪物袭击、伤亡危险、谋杀未遂、身体笑料、单向理想化与嫉妒。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家庭分离、亲子关系破裂、龙族战争、战斗、儿童角色卷入危险、性化笑料与暗示性对白。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正篇事实／强推断／读者解读</x:v>
      </x:c>
      <x:c r="M412" s="30" t="str">
        <x:v>无</x:v>
      </x:c>
      <x:c r="N412" s="27" t="str">
        <x:v>服务义务、地区活动与舞台压力、创作分歧、合宿和温泉情境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文类内百合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肢体恶作剧、外貌与摄影笑料、学生角色间性玩笑与意外亲吻、单向男性恋爱笑料、家庭冲突与离家情节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文类内百合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正篇事实／强推断／读者解读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正篇事实、强推断、读者解读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文类外百合阅读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文类内百合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文类内百合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文类内百合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正篇事实／强推断</x:v>
      </x:c>
      <x:c r="M427" s="30" t="str">
        <x:v>副线</x:v>
      </x:c>
      <x:c r="N427" s="27" t="str">
        <x:v>无血缘姊妹欲望、睡眠状态下靠近嘴唇且实际接触与同意未确认、分离与单向爱意、奇幻暴力、死亡、牺牲、黑暗主题与性化呈现。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文类外百合阅读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阶级霸凌、绑架与非法拘禁、虚假指控及流放或处刑威胁、魔法伤害、占有与嫉妒被喜剧化、收养义姐弟恋爱候选。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文类内百合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文类内百合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地下城战斗、死亡与复活设定、亲人失踪与早年丧失、犯罪团伙的同伴杀害、雇佣与管理权力差。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文类外百合阅读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竞技失败、追逐与轻度摔倒笑料，拟人化赛马设定，试胆、悬疑剧场和夸张角色扮演。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竞技压力与败北、运动伤痛、身体和内衣笑料、胸部相关笑话。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文类内百合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文类内百合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文类内百合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正篇事实／强推断／读者解读</x:v>
      </x:c>
      <x:c r="M485" s="30" t="str">
        <x:v>副线</x:v>
      </x:c>
      <x:c r="N485" s="27" t="str">
        <x:v>姐妹分离、父母遗产、自然灾害、殖民历史与异性恋求婚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文类外百合阅读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奇幻暴力、死亡与失落、胁迫与失去自主、性化呈现、姐妹间单向恋爱与身体欲望、未获回应的追求和占有式语言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文类内百合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文类内百合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文类内百合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正篇事实＋强推断</x:v>
      </x:c>
      <x:c r="M496" s="30" t="str">
        <x:v>无</x:v>
      </x:c>
      <x:c r="N496" s="27" t="str">
        <x:v>梦境、校园异变、成员疑似生病与短暂失联。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文类内百合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文类外百合阅读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文类内百合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正篇事实＋强推断＋读者解读</x:v>
      </x:c>
      <x:c r="M503" s="30" t="str">
        <x:v>副线</x:v>
      </x:c>
      <x:c r="N503" s="27" t="str">
        <x:v>跟随式追逐、反复邀约被拒、把拉面激情与亲密关系并置、同学和男性邀约笑料、双向恋爱未确认。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</x:v>
      </x:c>
      <x:c r="N504" s="27" t="str">
        <x:v>泳装与身材笑料、偏服务性的喜剧呈现、舞台恐惧与社交焦虑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文类内百合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正篇事实／强推断／读者解读</x:v>
      </x:c>
      <x:c r="M513" s="30" t="str">
        <x:v>副线</x:v>
      </x:c>
      <x:c r="N513" s="27" t="str">
        <x:v>偶像活动压力、宿舍拆除危机、对衣乃的过度追随、内衣与身体笑料、未成年角色性化喜剧、姐妹冲突与团队竞争。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文类内百合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副线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魔法机甲战斗、少女受伤与淘汰、记忆／身份／存在操控、家族压力、嫉妒、牺牲与开放性结尾。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文类内百合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文类内百合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文类内百合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校园谣言、嫉妒、照护与组织权力不对等、短暂男性交往及相亲喜剧。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文类内百合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正篇事实／强推断／读者解读</x:v>
      </x:c>
      <x:c r="M523" s="30" t="str">
        <x:v>无</x:v>
      </x:c>
      <x:c r="N523" s="27" t="str">
        <x:v>单向恋爱、嫉妒、关系破裂、校园排斥、角色扮演与现实边界、共同体内的冲突。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文类内百合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文类外百合阅读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文类内百合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文类内百合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文类内百合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成人向性化、暴力、绑架、精神操控与羞辱性战败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文类内百合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成人向裸露、爆衣与战败羞辱、格斗伤害和死亡威胁、绑架拷问、人质处境、精神操控、非自愿战斗、占有式执着与权力不对等。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正篇事实／读者解读</x:v>
      </x:c>
      <x:c r="M555" s="30" t="str">
        <x:v>副线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正篇事实／强推断／读者解读</x:v>
      </x:c>
      <x:c r="M561" s="30" t="str">
        <x:v>副线</x:v>
      </x:c>
      <x:c r="N561" s="27" t="str">
        <x:v>科幻战斗、死亡威胁、记忆植入、洗脑、身体实验、泳装与内衣服务性画面、强迫亲密和关系认知胁迫。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文类内百合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文类内百合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文类内百合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文类内百合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魔法军事战斗、未成年角色参战、模拟射击、内衣式服装设计。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文类内百合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文类内百合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病毒清除、失忆、虚拟世界消失、身份揭示、分离与牺牲。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文类内百合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文类内百合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文类内百合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异世界战斗、魔族与精灵危机、轻度身体变形和喜剧化危险、母女与姐妹关系、象征性姐妹婚礼，以及佩可拉希望与亚梓莎单独庆生的安排。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魔物袭击、战斗伤害、死亡与消失、家庭创伤、精神操纵、恶魔化和未成年人承担处刑任务。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末世灾变与可能的人类灭绝、危险骑行、枪械、AI 损坏、死亡记忆与亲人离散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文类内百合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正篇事实／强推断／读者解读</x:v>
      </x:c>
      <x:c r="M608" s="30" t="str">
        <x:v>无</x:v>
      </x:c>
      <x:c r="N608" s="27" t="str">
        <x:v>运动压力、停部经历、触身球及其他棒球伤害、战术责任和比赛失利。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文类内百合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运动失败、身体疲劳、新手自我怀疑、户外高尔夫与短篇篇幅限制。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文类内百合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文类内百合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无</x:v>
      </x:c>
      <x:c r="N613" s="27" t="str">
        <x:v>战争、枪击、吸血、身体变异、主要角色死亡、追捕、牺牲、悲剧性告别，以及年龄与权力差异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文类内百合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文类内百合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正篇事实＋强推断＋读者解读</x:v>
      </x:c>
      <x:c r="M637" s="30" t="str">
        <x:v>副线</x:v>
      </x:c>
      <x:c r="N637" s="27" t="str">
        <x:v>脱衣、内衣、胸部和性暗示笑料，强迫摆出接吻姿势，剧中女女告白。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</x:v>
      </x:c>
      <x:c r="M645" s="30" t="str">
        <x:v>无</x:v>
      </x:c>
      <x:c r="N645" s="27" t="str">
        <x:v>裸露、性化身体笑料、偷窥、未经同意的身体接触、后宫式争夺、年龄与权力差异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文类内百合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文类外百合阅读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正篇事实／强推断／读者解读</x:v>
      </x:c>
      <x:c r="M692" s="30" t="str">
        <x:v>副线</x:v>
      </x:c>
      <x:c r="N692" s="27" t="str">
        <x:v>末世战争、死亡、身体损伤、单向占有、仇恨、性暴力威胁与情绪失控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8a502dceb6a479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比较快照日期：2026-08-10。0、无精确条目、未知、所核未见和资料不足不是同一个状态。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2026-08-10</x:v>
      </x:c>
    </x:row>
    <x:row r="22" ht="31.5" customHeight="1">
      <x:c r="A22" s="27" t="str">
        <x:v>数据库源 SHA-256</x:v>
      </x:c>
      <x:c r="B22" s="27" t="str">
        <x:v>57898bc67e755ef933e29d1983bf8c2ba7e1e8ba7006bca1f7222b3f67772a8b</x:v>
      </x:c>
    </x:row>
    <x:row r="23" ht="31.5" customHeight="1">
      <x:c r="A23" s="27" t="str">
        <x:v>发布计划 SHA-256</x:v>
      </x:c>
      <x:c r="B23" s="27" t="str">
        <x:v>f9f28a5914c49a4d81559b65c8a0d8491be268fe38f584f969062ffa432a54bb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